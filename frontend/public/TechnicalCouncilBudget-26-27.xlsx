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Downloads\"/>
    </mc:Choice>
  </mc:AlternateContent>
  <xr:revisionPtr revIDLastSave="0" documentId="13_ncr:1_{44F4C2DC-B6DB-4717-AFEF-A8194C01C30D}" xr6:coauthVersionLast="47" xr6:coauthVersionMax="47" xr10:uidLastSave="{00000000-0000-0000-0000-000000000000}"/>
  <bookViews>
    <workbookView xWindow="-108" yWindow="-108" windowWidth="23256" windowHeight="12456" firstSheet="8" activeTab="12" xr2:uid="{00000000-000D-0000-FFFF-FFFF00000000}"/>
  </bookViews>
  <sheets>
    <sheet name="Overall" sheetId="1" r:id="rId1"/>
    <sheet name="Coding Club" sheetId="2" r:id="rId2"/>
    <sheet name="Space Data Science Club" sheetId="3" r:id="rId3"/>
    <sheet name="AI Club" sheetId="4" r:id="rId4"/>
    <sheet name="Robotics Club" sheetId="5" r:id="rId5"/>
    <sheet name="Finance Club" sheetId="6" r:id="rId6"/>
    <sheet name="Ingene Motorsport" sheetId="7" r:id="rId7"/>
    <sheet name="Abhikalpa Design Club" sheetId="8" r:id="rId8"/>
    <sheet name="Astronomy Club" sheetId="9" r:id="rId9"/>
    <sheet name="Electronics Club" sheetId="10" r:id="rId10"/>
    <sheet name="SoI26" sheetId="11" r:id="rId11"/>
    <sheet name="InterIIT" sheetId="12" r:id="rId12"/>
    <sheet name="PARSEC" sheetId="13" r:id="rId13"/>
    <sheet name="ClubMerch"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7" i="2" l="1"/>
  <c r="E54" i="2"/>
  <c r="E53" i="2"/>
  <c r="E55" i="2"/>
  <c r="E16" i="14"/>
  <c r="E15" i="14"/>
  <c r="E14" i="14"/>
  <c r="E13" i="14"/>
  <c r="E12" i="14"/>
  <c r="E11" i="14"/>
  <c r="E10" i="14"/>
  <c r="E9" i="14"/>
  <c r="E8" i="14"/>
  <c r="E7" i="14"/>
  <c r="E6" i="14"/>
  <c r="E5" i="14"/>
  <c r="E4" i="14"/>
  <c r="E17" i="14" s="1"/>
  <c r="B14" i="1" s="1"/>
  <c r="D14" i="1" s="1"/>
  <c r="C12" i="13"/>
  <c r="A12" i="13"/>
  <c r="C11" i="13"/>
  <c r="B11" i="13"/>
  <c r="A11" i="13"/>
  <c r="C10" i="13"/>
  <c r="B10" i="13"/>
  <c r="A10" i="13"/>
  <c r="C9" i="13"/>
  <c r="B9" i="13"/>
  <c r="A9" i="13"/>
  <c r="C8" i="13"/>
  <c r="B8" i="13"/>
  <c r="A8" i="13"/>
  <c r="C7" i="13"/>
  <c r="B7" i="13"/>
  <c r="A7" i="13"/>
  <c r="C6" i="13"/>
  <c r="B6" i="13"/>
  <c r="A6" i="13"/>
  <c r="C5" i="13"/>
  <c r="B5" i="13"/>
  <c r="A5" i="13"/>
  <c r="C4" i="13"/>
  <c r="B4" i="13"/>
  <c r="A4" i="13"/>
  <c r="C3" i="13"/>
  <c r="B3" i="13"/>
  <c r="A3" i="13"/>
  <c r="C2" i="13"/>
  <c r="B2" i="13"/>
  <c r="A2" i="13"/>
  <c r="C1" i="13"/>
  <c r="B1" i="13"/>
  <c r="A1" i="13"/>
  <c r="D6" i="12"/>
  <c r="C5" i="12"/>
  <c r="D5" i="12" s="1"/>
  <c r="C4" i="12"/>
  <c r="D4" i="12" s="1"/>
  <c r="C3" i="12"/>
  <c r="D3" i="12" s="1"/>
  <c r="D2" i="12"/>
  <c r="D11" i="12" s="1"/>
  <c r="B12" i="1" s="1"/>
  <c r="D12" i="1" s="1"/>
  <c r="F21" i="11"/>
  <c r="B11" i="1" s="1"/>
  <c r="D11" i="1" s="1"/>
  <c r="F19" i="11"/>
  <c r="F18" i="11"/>
  <c r="F17" i="11"/>
  <c r="F16" i="11"/>
  <c r="F15" i="11"/>
  <c r="F14" i="11"/>
  <c r="F13" i="11"/>
  <c r="F12" i="11"/>
  <c r="F11" i="11"/>
  <c r="H7" i="11"/>
  <c r="H6" i="11"/>
  <c r="F6" i="11"/>
  <c r="F5" i="11"/>
  <c r="F4" i="11"/>
  <c r="F3" i="11"/>
  <c r="F2" i="11"/>
  <c r="E130" i="10"/>
  <c r="E113" i="10"/>
  <c r="E101" i="10"/>
  <c r="E99" i="10"/>
  <c r="E98" i="10"/>
  <c r="E97" i="10"/>
  <c r="E96" i="10"/>
  <c r="E95" i="10"/>
  <c r="E94" i="10"/>
  <c r="E93" i="10"/>
  <c r="E92" i="10"/>
  <c r="E91" i="10"/>
  <c r="E90" i="10"/>
  <c r="E89" i="10"/>
  <c r="E88" i="10"/>
  <c r="E87" i="10"/>
  <c r="E86" i="10"/>
  <c r="E85" i="10"/>
  <c r="E84" i="10"/>
  <c r="E83" i="10"/>
  <c r="E82" i="10"/>
  <c r="E81" i="10"/>
  <c r="E80" i="10"/>
  <c r="E79" i="10"/>
  <c r="E78" i="10"/>
  <c r="E77" i="10"/>
  <c r="E76" i="10"/>
  <c r="E75" i="10"/>
  <c r="E74" i="10"/>
  <c r="E73" i="10"/>
  <c r="E72" i="10"/>
  <c r="E71" i="10"/>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0" i="10"/>
  <c r="E39" i="10"/>
  <c r="E38" i="10"/>
  <c r="E37" i="10"/>
  <c r="E36" i="10"/>
  <c r="E35" i="10"/>
  <c r="E34" i="10"/>
  <c r="E33" i="10"/>
  <c r="E32" i="10"/>
  <c r="E31" i="10"/>
  <c r="E41" i="10" s="1"/>
  <c r="B3" i="10" s="1"/>
  <c r="C61" i="9"/>
  <c r="E49" i="9"/>
  <c r="E51" i="9" s="1"/>
  <c r="B3" i="9" s="1"/>
  <c r="E35" i="9"/>
  <c r="B4" i="9"/>
  <c r="E107" i="8"/>
  <c r="E94" i="8"/>
  <c r="E83" i="8"/>
  <c r="E82" i="8"/>
  <c r="E81" i="8"/>
  <c r="E80" i="8"/>
  <c r="E79" i="8"/>
  <c r="E78" i="8"/>
  <c r="E56" i="8"/>
  <c r="E54" i="8"/>
  <c r="E53" i="8"/>
  <c r="E52" i="8"/>
  <c r="E51" i="8"/>
  <c r="E50" i="8"/>
  <c r="E49" i="8"/>
  <c r="E48" i="8"/>
  <c r="E47" i="8"/>
  <c r="E46" i="8"/>
  <c r="E84" i="8" s="1"/>
  <c r="B4" i="8" s="1"/>
  <c r="C8" i="1" s="1"/>
  <c r="E43" i="8"/>
  <c r="E42" i="8"/>
  <c r="E37" i="8"/>
  <c r="E36" i="8"/>
  <c r="E38" i="8" s="1"/>
  <c r="B3" i="8" s="1"/>
  <c r="E50" i="7"/>
  <c r="E36" i="7"/>
  <c r="E35" i="7"/>
  <c r="E34" i="7"/>
  <c r="E37" i="7" s="1"/>
  <c r="B4" i="7" s="1"/>
  <c r="C7" i="1" s="1"/>
  <c r="E29" i="7"/>
  <c r="E28" i="7"/>
  <c r="E27" i="7"/>
  <c r="E26" i="7"/>
  <c r="E25" i="7"/>
  <c r="E24" i="7"/>
  <c r="E23" i="7"/>
  <c r="E22" i="7"/>
  <c r="E21" i="7"/>
  <c r="E20" i="7"/>
  <c r="E19" i="7"/>
  <c r="E18" i="7"/>
  <c r="E30" i="7" s="1"/>
  <c r="B3" i="7" s="1"/>
  <c r="B60" i="6"/>
  <c r="E56" i="6"/>
  <c r="E51" i="6"/>
  <c r="E46" i="6"/>
  <c r="E41" i="6"/>
  <c r="E27" i="6"/>
  <c r="B3" i="6"/>
  <c r="B5" i="6" s="1"/>
  <c r="E183" i="5"/>
  <c r="B4" i="5" s="1"/>
  <c r="C5" i="1" s="1"/>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3" i="5"/>
  <c r="E92" i="5"/>
  <c r="E91" i="5"/>
  <c r="E90" i="5"/>
  <c r="E89" i="5"/>
  <c r="E88" i="5"/>
  <c r="E87" i="5"/>
  <c r="E86" i="5"/>
  <c r="E85" i="5"/>
  <c r="E84" i="5"/>
  <c r="E83" i="5"/>
  <c r="E82" i="5"/>
  <c r="E78" i="5"/>
  <c r="B3" i="5" s="1"/>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47" i="4"/>
  <c r="E39" i="4"/>
  <c r="E25" i="4"/>
  <c r="E26" i="4" s="1"/>
  <c r="B3" i="4" s="1"/>
  <c r="C99" i="3"/>
  <c r="E94" i="3"/>
  <c r="E86" i="3"/>
  <c r="E38" i="3"/>
  <c r="E37" i="3"/>
  <c r="E36" i="3"/>
  <c r="E35" i="3"/>
  <c r="E34" i="3"/>
  <c r="E33" i="3"/>
  <c r="E32" i="3"/>
  <c r="E31" i="3"/>
  <c r="E30" i="3"/>
  <c r="E29" i="3"/>
  <c r="E28" i="3"/>
  <c r="E27" i="3"/>
  <c r="E26" i="3"/>
  <c r="E25" i="3"/>
  <c r="E24" i="3"/>
  <c r="E23" i="3"/>
  <c r="E76" i="3" s="1"/>
  <c r="B3" i="3" s="1"/>
  <c r="C3" i="1" s="1"/>
  <c r="E18" i="3"/>
  <c r="E17" i="3"/>
  <c r="E19" i="3" s="1"/>
  <c r="B2" i="3" s="1"/>
  <c r="E149" i="2"/>
  <c r="G149" i="2" s="1"/>
  <c r="E140" i="2"/>
  <c r="G140" i="2" s="1"/>
  <c r="E127" i="2"/>
  <c r="G127" i="2" s="1"/>
  <c r="E118" i="2"/>
  <c r="G118" i="2" s="1"/>
  <c r="E109" i="2"/>
  <c r="G109" i="2" s="1"/>
  <c r="E100" i="2"/>
  <c r="G100" i="2" s="1"/>
  <c r="E91" i="2"/>
  <c r="G91" i="2" s="1"/>
  <c r="G82" i="2"/>
  <c r="E82" i="2"/>
  <c r="E71" i="2"/>
  <c r="E72" i="2"/>
  <c r="G72" i="2" s="1"/>
  <c r="G155" i="2" s="1"/>
  <c r="G157" i="2" s="1"/>
  <c r="B4" i="2"/>
  <c r="G15" i="1"/>
  <c r="F15" i="1"/>
  <c r="E15" i="1"/>
  <c r="G13" i="1"/>
  <c r="F13" i="1"/>
  <c r="B13" i="1"/>
  <c r="D13" i="1" s="1"/>
  <c r="G12" i="1"/>
  <c r="F12" i="1"/>
  <c r="G10" i="1"/>
  <c r="F10" i="1"/>
  <c r="G9" i="1"/>
  <c r="F9" i="1"/>
  <c r="C9" i="1"/>
  <c r="G8" i="1"/>
  <c r="F8" i="1"/>
  <c r="G7" i="1"/>
  <c r="F7" i="1"/>
  <c r="G6" i="1"/>
  <c r="F6" i="1"/>
  <c r="C6" i="1"/>
  <c r="B6" i="1"/>
  <c r="D6" i="1" s="1"/>
  <c r="G5" i="1"/>
  <c r="F5" i="1"/>
  <c r="G4" i="1"/>
  <c r="F4" i="1"/>
  <c r="C4" i="1"/>
  <c r="G3" i="1"/>
  <c r="F3" i="1"/>
  <c r="G2" i="1"/>
  <c r="F2" i="1"/>
  <c r="C2" i="1"/>
  <c r="B3" i="2" l="1"/>
  <c r="E103" i="10"/>
  <c r="B4" i="10" s="1"/>
  <c r="B10" i="1"/>
  <c r="B5" i="9"/>
  <c r="B9" i="1"/>
  <c r="D9" i="1" s="1"/>
  <c r="B5" i="8"/>
  <c r="B8" i="1"/>
  <c r="D8" i="1" s="1"/>
  <c r="B5" i="7"/>
  <c r="B7" i="1"/>
  <c r="D7" i="1" s="1"/>
  <c r="B5" i="5"/>
  <c r="B5" i="1"/>
  <c r="D5" i="1" s="1"/>
  <c r="B5" i="4"/>
  <c r="B4" i="1"/>
  <c r="D4" i="1" s="1"/>
  <c r="B4" i="3"/>
  <c r="B3" i="1"/>
  <c r="D3" i="1" s="1"/>
  <c r="B5" i="2" l="1"/>
  <c r="B2" i="1"/>
  <c r="D2" i="1" s="1"/>
  <c r="C10" i="1"/>
  <c r="D10" i="1" s="1"/>
  <c r="B5" i="10"/>
  <c r="D15" i="1" l="1"/>
</calcChain>
</file>

<file path=xl/sharedStrings.xml><?xml version="1.0" encoding="utf-8"?>
<sst xmlns="http://schemas.openxmlformats.org/spreadsheetml/2006/main" count="1736" uniqueCount="918">
  <si>
    <t>Club Name</t>
  </si>
  <si>
    <t>Overview</t>
  </si>
  <si>
    <t>Type</t>
  </si>
  <si>
    <t>Recurring</t>
  </si>
  <si>
    <t>Non-Recurring</t>
  </si>
  <si>
    <t>Total</t>
  </si>
  <si>
    <t>LAST YEAR'S TOTAL</t>
  </si>
  <si>
    <t>Difference</t>
  </si>
  <si>
    <t>%age change</t>
  </si>
  <si>
    <t>Amount</t>
  </si>
  <si>
    <t>Table of Content</t>
  </si>
  <si>
    <t>(Annexure 1) Coding Club</t>
  </si>
  <si>
    <t>Annexure No.</t>
  </si>
  <si>
    <t>Details</t>
  </si>
  <si>
    <t>Projects</t>
  </si>
  <si>
    <t>Project-CubeSat</t>
  </si>
  <si>
    <t>Project Lead: Affan P</t>
  </si>
  <si>
    <t>Project Duration: Aug 2026 to Jan 2027</t>
  </si>
  <si>
    <t>Web Wing:</t>
  </si>
  <si>
    <t>Project-Self-Balancing Cube</t>
  </si>
  <si>
    <t xml:space="preserve">Project-i) </t>
  </si>
  <si>
    <t xml:space="preserve">IRO(International Relations) website. </t>
  </si>
  <si>
    <t>Project Lead: Balamurali V B</t>
  </si>
  <si>
    <t>(Annexure 2) SDS Club</t>
  </si>
  <si>
    <t>Project-i)</t>
  </si>
  <si>
    <t>Speech Emotion Recognition (SER)</t>
  </si>
  <si>
    <t xml:space="preserve">Project Lead: </t>
  </si>
  <si>
    <t>Lataksh Sariya</t>
  </si>
  <si>
    <t>Project Lead:</t>
  </si>
  <si>
    <t>Dhanush H N (cs23bt010) &amp; Priyanshu (is23bm007)</t>
  </si>
  <si>
    <t xml:space="preserve">Project Duration: </t>
  </si>
  <si>
    <t>1 month</t>
  </si>
  <si>
    <t>Project Duration:</t>
  </si>
  <si>
    <t>6-7 Months</t>
  </si>
  <si>
    <t>Recurring Budget</t>
  </si>
  <si>
    <t xml:space="preserve">Project-ii) </t>
  </si>
  <si>
    <t>RnD website</t>
  </si>
  <si>
    <t>Annexure-1</t>
  </si>
  <si>
    <t>Coding Club</t>
  </si>
  <si>
    <t>(Annexure 3) AI Club</t>
  </si>
  <si>
    <t xml:space="preserve"> Srinivas</t>
  </si>
  <si>
    <t>Project-ii)</t>
  </si>
  <si>
    <t xml:space="preserve">Deepfake Detection </t>
  </si>
  <si>
    <t>Completed (Deployment Remaining)</t>
  </si>
  <si>
    <t>Sr. No.</t>
  </si>
  <si>
    <t>Mallireddy Rupesh (cs23bt025)</t>
  </si>
  <si>
    <t>Description of Item</t>
  </si>
  <si>
    <t>Cost (per unit)</t>
  </si>
  <si>
    <t>Quantity</t>
  </si>
  <si>
    <t>Annexure-2</t>
  </si>
  <si>
    <t>Space Data Science Club</t>
  </si>
  <si>
    <t>7 months</t>
  </si>
  <si>
    <t>Reference Link</t>
  </si>
  <si>
    <t xml:space="preserve">Project-iii) </t>
  </si>
  <si>
    <t>Justification</t>
  </si>
  <si>
    <t>student welfare website</t>
  </si>
  <si>
    <t>(Annexure 4) Robotics Club</t>
  </si>
  <si>
    <t>Varshith Kamatham</t>
  </si>
  <si>
    <t>Project-iii)</t>
  </si>
  <si>
    <t>sEMG-Based Hand Gesture Recognition</t>
  </si>
  <si>
    <t>PETG Filament</t>
  </si>
  <si>
    <t>Aayushi Singh (is24bm037)</t>
  </si>
  <si>
    <t>Under Continued Maintainence</t>
  </si>
  <si>
    <t>Annexure-3</t>
  </si>
  <si>
    <t>AI Club</t>
  </si>
  <si>
    <t xml:space="preserve">Project-iv) </t>
  </si>
  <si>
    <t>SAM Portal</t>
  </si>
  <si>
    <t xml:space="preserve">(Annexure 5) Insolvent </t>
  </si>
  <si>
    <t>Maneesha</t>
  </si>
  <si>
    <t>Link</t>
  </si>
  <si>
    <t>Project-iv&amp;v)</t>
  </si>
  <si>
    <t>Gesture Controlled Game &amp; Company Analysis Chatbot</t>
  </si>
  <si>
    <t>Annexure-4</t>
  </si>
  <si>
    <t>Robotics Club</t>
  </si>
  <si>
    <t xml:space="preserve">(Annexure 6) InGene </t>
  </si>
  <si>
    <t xml:space="preserve">Project-v) </t>
  </si>
  <si>
    <t>Alumni connect portal</t>
  </si>
  <si>
    <t xml:space="preserve"> Vedamitra and Kavi </t>
  </si>
  <si>
    <t>Annexure-5</t>
  </si>
  <si>
    <t>Insolvent Finance Club</t>
  </si>
  <si>
    <t xml:space="preserve">(Annexure 7) Design Club </t>
  </si>
  <si>
    <t>Systems Wing:</t>
  </si>
  <si>
    <t>OpenAI API (GPT models)</t>
  </si>
  <si>
    <t>Annexure-6</t>
  </si>
  <si>
    <t>InGene Motorsports Club</t>
  </si>
  <si>
    <t>(Annexure 8) Astronomy Club</t>
  </si>
  <si>
    <t>Design and Verification of processor:</t>
  </si>
  <si>
    <t>Srinivas and Smaran</t>
  </si>
  <si>
    <t>https://openai.com/api/pricing/</t>
  </si>
  <si>
    <t>n/a</t>
  </si>
  <si>
    <t>Annexure-7</t>
  </si>
  <si>
    <t>Design Club</t>
  </si>
  <si>
    <t>Embedded streaming interpreter:</t>
  </si>
  <si>
    <t>(Annexure 9) Electronics Club</t>
  </si>
  <si>
    <t>Filament for 3D printing</t>
  </si>
  <si>
    <t>Gourav</t>
  </si>
  <si>
    <t>PLA Filament</t>
  </si>
  <si>
    <t>Entire Semester</t>
  </si>
  <si>
    <t>Annexure-8</t>
  </si>
  <si>
    <t>Man in the middle:</t>
  </si>
  <si>
    <t>Astronomy Club</t>
  </si>
  <si>
    <t>Tapash</t>
  </si>
  <si>
    <t>(Annexure 10) Summer of Innovation (SoI 2026)</t>
  </si>
  <si>
    <t>Non-Recurring Budget</t>
  </si>
  <si>
    <t>NA</t>
  </si>
  <si>
    <t xml:space="preserve">Distributed GPUs: </t>
  </si>
  <si>
    <t>Annexure-9</t>
  </si>
  <si>
    <t>Electronics Club</t>
  </si>
  <si>
    <t>Anshuman Rahul</t>
  </si>
  <si>
    <t>(Annexure 11) Inter IIT Tech Meet 15.0</t>
  </si>
  <si>
    <t>Events</t>
  </si>
  <si>
    <t>Annexure-10</t>
  </si>
  <si>
    <t>Summer of Innovation (SoI 2026)</t>
  </si>
  <si>
    <t xml:space="preserve">(Annexure 12) PARSEC 7.0 </t>
  </si>
  <si>
    <t>Claude Pro Subscription</t>
  </si>
  <si>
    <t>Event Name:</t>
  </si>
  <si>
    <t xml:space="preserve">Smart India Hackathon (Internal Hackathon)
</t>
  </si>
  <si>
    <t>Tentative Date and Duration: &lt;start date and end date&gt;</t>
  </si>
  <si>
    <t>August/ September 2026 24h duration</t>
  </si>
  <si>
    <t>Annexure-11</t>
  </si>
  <si>
    <t>Inter IIT Tech Meet 14.0</t>
  </si>
  <si>
    <t>Prize Pool:</t>
  </si>
  <si>
    <t>(Annexure 13) Club Merch</t>
  </si>
  <si>
    <t>Merchandise for Top 5 Teams (6 per team)</t>
  </si>
  <si>
    <t>Annexure-12</t>
  </si>
  <si>
    <t>PARSEC 7.0</t>
  </si>
  <si>
    <t>Game Assets</t>
  </si>
  <si>
    <t xml:space="preserve"> Hackastra (AI Hackathon)</t>
  </si>
  <si>
    <t>Honorarium for SW Website &amp; Maintainence</t>
  </si>
  <si>
    <t>06/03/2027-07/03/2027 24hr Duration</t>
  </si>
  <si>
    <t>Prize Pool: 15000</t>
  </si>
  <si>
    <t>2204 260KV Brushless Gimbal Motor</t>
  </si>
  <si>
    <t>Website &amp; Maintainence of SmartMess, SAM Portal, etc.</t>
  </si>
  <si>
    <t>Annexure-13</t>
  </si>
  <si>
    <t>ClubMerch</t>
  </si>
  <si>
    <t>Catering</t>
  </si>
  <si>
    <t>TOTAL</t>
  </si>
  <si>
    <t>100 each</t>
  </si>
  <si>
    <t>Prize Pool (Goodies and Vouchers)</t>
  </si>
  <si>
    <t>- 1st: 7000
- 2nd: 5000
- 3rd: 3000</t>
  </si>
  <si>
    <t>Parts of research and development of CubeSat -ADCS (1-7)</t>
  </si>
  <si>
    <t>Machine Learning Workshop</t>
  </si>
  <si>
    <t>Magnetic encoder sensor module AS5600</t>
  </si>
  <si>
    <t>September 2026 2hr Duration</t>
  </si>
  <si>
    <t>https://www.amazon.in/Epson-EB-E12-Business-Projector-3600lm/dp/B0FBW42YHG?source=ps-sl-shoppingads-lpcontext&amp;ref_=fplfs&amp;smid=A1G3X314TR8HIW&amp;th=1</t>
  </si>
  <si>
    <t>Artificial Intelligence workshop</t>
  </si>
  <si>
    <t>feb/march 2027 2hr Duration</t>
  </si>
  <si>
    <t>Orange 11.1V 600mAh 25C 3S Lithium Polymer Battery Pack</t>
  </si>
  <si>
    <t>Claude Code workshop (Online)</t>
  </si>
  <si>
    <t>Every Month (Sept-Apr)</t>
  </si>
  <si>
    <t>Cost</t>
  </si>
  <si>
    <t>SWO - Institute fund</t>
  </si>
  <si>
    <t>LM2596S-5.0-XBLW-Step-down type Fixed 5V TO-263-5L DC-DC Converters ROHS</t>
  </si>
  <si>
    <t>Claude Code Subscription for speaker</t>
  </si>
  <si>
    <t>ESP32 S3 Devkit (ESP32 S3 WROOM 1 N16R8 | 16MB Flash + 8MB PSRAM)</t>
  </si>
  <si>
    <r>
      <rPr>
        <sz val="10"/>
        <color rgb="FF000000"/>
        <rFont val="Arial"/>
      </rPr>
      <t xml:space="preserve">Event Name: </t>
    </r>
    <r>
      <rPr>
        <b/>
        <sz val="10"/>
        <color rgb="FF000000"/>
        <rFont val="Arial"/>
      </rPr>
      <t>Sleepless Coding Saga 4.0</t>
    </r>
  </si>
  <si>
    <t>Tentative Date and Duration: Even sem</t>
  </si>
  <si>
    <t>SimpleFOCmini Brushless DC Motor Driver Board</t>
  </si>
  <si>
    <t>Refreshments</t>
  </si>
  <si>
    <t>25*2</t>
  </si>
  <si>
    <t>Prize pool (kind 1st)</t>
  </si>
  <si>
    <t>CJMCU TCA9548A I2C 8 Channel Multiple Extensions Development Board</t>
  </si>
  <si>
    <t>Prize pool (kind 2nd)</t>
  </si>
  <si>
    <t>Prize pool (kind 3rd)</t>
  </si>
  <si>
    <t>Certificates</t>
  </si>
  <si>
    <t>Ebyte E32-433T20D-V8 UART/SX1278 410-441Mhz Wireless LoRa Module</t>
  </si>
  <si>
    <r>
      <rPr>
        <sz val="10"/>
        <color rgb="FF000000"/>
        <rFont val="Arial"/>
      </rPr>
      <t xml:space="preserve">Event Name: </t>
    </r>
    <r>
      <rPr>
        <b/>
        <sz val="10"/>
        <color rgb="FF000000"/>
        <rFont val="Arial"/>
      </rPr>
      <t>Arcadia 3.0</t>
    </r>
  </si>
  <si>
    <t>Tentative Date and Duration: Odd Sem</t>
  </si>
  <si>
    <t>Parts for research and development of Sensors and Communications.(8-16)</t>
  </si>
  <si>
    <t>VEML6075 UV Sensor Module</t>
  </si>
  <si>
    <t>amazon.in/ZEBRONICS-Wireless-Controller-Triggers-Rechargeable/dp/B0CFTZQ8JB/ref=sr_1_6?adgrpid=64599113891&amp;dib=eyJ2IjoiMSJ9.uOcMW7puTNtRSUf9NqTdcCG-5eui_4WQ-2-dNoAXo3E7OJ7u2JU8ygDaI9n4eTSjPj1QyGzs2TgOKERh9JTjm6BWKDaJ9S3hg59cKQT7ZMPqWF0_n5sZTsDIQwoZ1ZUkye7LhNotGOlmMp5HRMqq0Ll5W2FZ0qKE4j0XYMH0e3_LCHio2LvacC0ntKmqWrdxqL8OrhPn7mdgw78y5rrHk00hr7A2I3Qc-PJIO2b-jZo.TOFTNJuVABxXWjUU3SWlNPyLs4TUiCpaHykqFUaqtcA&amp;dib_tag=se&amp;gad_source=1&amp;hvadid=590736358768&amp;hvdev=c&amp;hvexpln=0&amp;hvlocphy=9062062&amp;hvnetw=g&amp;hvocijid=17249888328509032753--&amp;hvqmt=b&amp;hvrand=17249888328509032753&amp;hvtargid=kwd-10840081&amp;hydadcr=15881_2268738&amp;keywords=game+controllers&amp;mcid=aab7693e432034acba2d25b9d2bf6a5e&amp;qid=1780598012&amp;sr=8-6</t>
  </si>
  <si>
    <t>NEO-M8N GPS Module with Ceramic Active Antenna</t>
  </si>
  <si>
    <t>18650 Li-Ion Cell 3.7V 2500mAh (INR)</t>
  </si>
  <si>
    <t>2S 20A 18650 BMS Protection Board (HX-2S-D20)</t>
  </si>
  <si>
    <t>Game Assets and subscriptions</t>
  </si>
  <si>
    <t>WeAct STM32F103C8T6 Bluepill Plus Dev Board</t>
  </si>
  <si>
    <r>
      <rPr>
        <sz val="10"/>
        <color rgb="FF000000"/>
        <rFont val="Arial"/>
      </rPr>
      <t xml:space="preserve">Event Name: </t>
    </r>
    <r>
      <rPr>
        <b/>
        <sz val="10"/>
        <color rgb="FF000000"/>
        <rFont val="Arial"/>
      </rPr>
      <t>Algoptica 1.0</t>
    </r>
  </si>
  <si>
    <t>Tentative Date and Duration: Even Sem</t>
  </si>
  <si>
    <t>SL No</t>
  </si>
  <si>
    <t xml:space="preserve">Prize pool kind 1st </t>
  </si>
  <si>
    <t>ST-Link V2 Programmer (STM8/STM32 SWD)</t>
  </si>
  <si>
    <t>Prize pool kind 2nd</t>
  </si>
  <si>
    <t>Prize pool kind 3rd</t>
  </si>
  <si>
    <t>Arduino Nano</t>
  </si>
  <si>
    <r>
      <rPr>
        <sz val="10"/>
        <color rgb="FF000000"/>
        <rFont val="Arial"/>
      </rPr>
      <t xml:space="preserve">Event Name: </t>
    </r>
    <r>
      <rPr>
        <b/>
        <sz val="10"/>
        <color rgb="FF000000"/>
        <rFont val="Arial"/>
      </rPr>
      <t>DevSprint 2.0</t>
    </r>
  </si>
  <si>
    <t>Buck converter</t>
  </si>
  <si>
    <t>Double-aluminized polyimide / Kapton films</t>
  </si>
  <si>
    <t>Aerospace grade tape to act as heat sink</t>
  </si>
  <si>
    <t xml:space="preserve">TPS2595 EVM </t>
  </si>
  <si>
    <r>
      <rPr>
        <sz val="10"/>
        <color rgb="FF000000"/>
        <rFont val="Arial"/>
      </rPr>
      <t xml:space="preserve">Event Name: </t>
    </r>
    <r>
      <rPr>
        <b/>
        <sz val="10"/>
        <color rgb="FF000000"/>
        <rFont val="Arial"/>
      </rPr>
      <t>Vibeathon 2.0</t>
    </r>
  </si>
  <si>
    <t>Parts for Research and Development of CubeSat EPS(18-53)</t>
  </si>
  <si>
    <t xml:space="preserve">MSP-EXP430FR5969 LaunchPad </t>
  </si>
  <si>
    <t xml:space="preserve">TPS3890 EVM/breakout </t>
  </si>
  <si>
    <r>
      <rPr>
        <sz val="10"/>
        <color rgb="FF000000"/>
        <rFont val="Arial"/>
      </rPr>
      <t xml:space="preserve">Event Name: </t>
    </r>
    <r>
      <rPr>
        <b/>
        <sz val="10"/>
        <color rgb="FF000000"/>
        <rFont val="Arial"/>
      </rPr>
      <t>Fork and Conquer 1.0</t>
    </r>
  </si>
  <si>
    <t>Prize Pool: 5000</t>
  </si>
  <si>
    <t xml:space="preserve">TPL5010 EVM/breakout // direct prototype </t>
  </si>
  <si>
    <t xml:space="preserve">BQ24103A EVM </t>
  </si>
  <si>
    <r>
      <rPr>
        <sz val="10"/>
        <color rgb="FF000000"/>
        <rFont val="Arial"/>
      </rPr>
      <t xml:space="preserve">Event Name: </t>
    </r>
    <r>
      <rPr>
        <b/>
        <sz val="10"/>
        <color rgb="FF000000"/>
        <rFont val="Arial"/>
      </rPr>
      <t>SysArena 1.0</t>
    </r>
  </si>
  <si>
    <t>BQ76905EVM</t>
  </si>
  <si>
    <t>BQ76905EVM Evaluation board | TI.com</t>
  </si>
  <si>
    <t xml:space="preserve">TPS63070 EVM </t>
  </si>
  <si>
    <r>
      <rPr>
        <sz val="10"/>
        <color rgb="FF000000"/>
        <rFont val="Arial"/>
      </rPr>
      <t xml:space="preserve">Event Name : </t>
    </r>
    <r>
      <rPr>
        <b/>
        <sz val="10"/>
        <color rgb="FF000000"/>
        <rFont val="Arial"/>
      </rPr>
      <t>Source to Silicon</t>
    </r>
  </si>
  <si>
    <t>Workshop</t>
  </si>
  <si>
    <t>TPS2595 (IC)</t>
  </si>
  <si>
    <r>
      <rPr>
        <sz val="10"/>
        <color rgb="FF000000"/>
        <rFont val="Arial"/>
      </rPr>
      <t xml:space="preserve">Event Name: </t>
    </r>
    <r>
      <rPr>
        <b/>
        <sz val="10"/>
        <color rgb="FF000000"/>
        <rFont val="Arial"/>
      </rPr>
      <t xml:space="preserve">Duel Arena 1.0 </t>
    </r>
  </si>
  <si>
    <t>MSP430FR5969 (IC)</t>
  </si>
  <si>
    <t>TPS7A24 (IC)</t>
  </si>
  <si>
    <r>
      <rPr>
        <sz val="10"/>
        <color rgb="FF000000"/>
        <rFont val="Arial"/>
      </rPr>
      <t xml:space="preserve">Event Name: </t>
    </r>
    <r>
      <rPr>
        <b/>
        <sz val="10"/>
        <color rgb="FF000000"/>
        <rFont val="Arial"/>
      </rPr>
      <t xml:space="preserve">Duel Arena 1.1 </t>
    </r>
  </si>
  <si>
    <t>BQ24103A (IC)</t>
  </si>
  <si>
    <t>BQ76905 (IC)</t>
  </si>
  <si>
    <t>LTC4412 + PMOS (IC)</t>
  </si>
  <si>
    <r>
      <rPr>
        <sz val="10"/>
        <color rgb="FF000000"/>
        <rFont val="Arial"/>
      </rPr>
      <t xml:space="preserve">Event Name : </t>
    </r>
    <r>
      <rPr>
        <b/>
        <sz val="10"/>
        <color rgb="FF000000"/>
        <rFont val="Arial"/>
      </rPr>
      <t>External Talks and Workshops</t>
    </r>
  </si>
  <si>
    <t>Tentative Date and Duration: Odd Sem + Even Sem</t>
  </si>
  <si>
    <t>ON CAMPUS EVENTS</t>
  </si>
  <si>
    <t>INA228 (IC)</t>
  </si>
  <si>
    <t>TPS63070 initially (IC)</t>
  </si>
  <si>
    <t>TPS259474 (IC)</t>
  </si>
  <si>
    <t>TPS3890 (IC)</t>
  </si>
  <si>
    <t>TPL5010 (IC)</t>
  </si>
  <si>
    <t>TPS2521 per major rail (IC)</t>
  </si>
  <si>
    <t>General resistors (KIT) + Gate resistors + Gate pull resistors + LED resistors</t>
  </si>
  <si>
    <t>https://robu.in/product/plusivo-resistor-assortment-kit-10-%CF%89-to-1-m%CF%89-600pcs/</t>
  </si>
  <si>
    <t>Precision resistors — 10k,11k,12.1k,20k,22k,62k,82k,100k,105k,120k/124k,150k,200k,470k,1M (14 values)</t>
  </si>
  <si>
    <t>High-value pulls — 470k, 1M, 2M, 5M</t>
  </si>
  <si>
    <t>Small capacitors (pF-nF) — 100 pF, 470 pF, 1 nF, 1.2 nF, 4.7 nF, 10 nF</t>
  </si>
  <si>
    <t>https://robu.in/product-category/mlcc/?filters=%7B%22capacitance%22%3A%5B40007%2C40008%2C40022%2C40009%2C40096%5D%7D&amp;page=1</t>
  </si>
  <si>
    <t>Decoupling (KIT) + Medium MLCC + ADC filter capacitors</t>
  </si>
  <si>
    <t>Power MLCC — 10 µF, 22 µF, 47 µF</t>
  </si>
  <si>
    <t>Current shunts + High-current shunts + Lower-current shunts</t>
  </si>
  <si>
    <t>NTCs — 10 kΩ @25°C</t>
  </si>
  <si>
    <t>Ferrite bead — BLM31KN121SN1L or equivalent</t>
  </si>
  <si>
    <t>https://www.digikey.in/en/products/detail/murata-electronics/BLM31KN121SN1L/7564089</t>
  </si>
  <si>
    <t>TVS diode — SMAJ13A</t>
  </si>
  <si>
    <t>https://www.digikey.com/en/products/detail/diodes-incorporated/SMAJ13A-13-F/1934268?msockid=29440832fdc1683b1d4c1e7cfc5c697c</t>
  </si>
  <si>
    <t>Polyfuses — 0.1 A, 0.5 A, 1 A, 2 A, 3 A</t>
  </si>
  <si>
    <t>https://robu.in/product-category/resettable-fuses/?filters=%7B%22current-rating-a%22%3A%5B38860%2C38869%2C38847%2C38891%2C38929%5D%7D&amp;page=1</t>
  </si>
  <si>
    <t>Power inductors — 2.2 µH assortment</t>
  </si>
  <si>
    <t>Buck inductors — ~1-4.7 µH range</t>
  </si>
  <si>
    <t>Charger inductor — 10 µH</t>
  </si>
  <si>
    <t>https://robu.in/product-category/power-inductors/?filters=%7B%22inductanceh%22%3A%5B39649%5D%7D&amp;page=1</t>
  </si>
  <si>
    <t>MOSFET gate/test components — 2N7002 etc.</t>
  </si>
  <si>
    <t>Test LEDs — red, green, blue</t>
  </si>
  <si>
    <t>https://robu.in/product/5mm-led-diode-light-assorted-kit-diy-leds-set-red-white-yellow-green-blue-including-red-20pcs-white-20pcs-yellow-20pcs-green-20pcs-blue-20pcs/</t>
  </si>
  <si>
    <t>Test points — VIN/BAT/VMAIN/5V/3V3/GND</t>
  </si>
  <si>
    <t>Event Name: Olympus Tech 4.0, expected participants - 40</t>
  </si>
  <si>
    <t>Tentative Date and Duration: October 3rd ; 1month</t>
  </si>
  <si>
    <t>Prize Pool: Rs. 15,000</t>
  </si>
  <si>
    <t>Additional Details</t>
  </si>
  <si>
    <t>Materials required</t>
  </si>
  <si>
    <t>Subcriptions, Cloud GPUs, etc.</t>
  </si>
  <si>
    <t>Prize pool (Goodies and Vouchers)</t>
  </si>
  <si>
    <t>Standard prize pool for Olympus Tech ; Includes goodies</t>
  </si>
  <si>
    <t>Event Name: Ascension 1.0 , expected participation - 50</t>
  </si>
  <si>
    <t>Tentative Date and Duration: March 2027</t>
  </si>
  <si>
    <t>Subscriptions</t>
  </si>
  <si>
    <t>Component</t>
  </si>
  <si>
    <t>Reference Links</t>
  </si>
  <si>
    <t>Price</t>
  </si>
  <si>
    <t>Cloud GPUs</t>
  </si>
  <si>
    <t>GPUs are essential for faster model training for club projects and hackathons( Runpod platform will be used).</t>
  </si>
  <si>
    <t>Project 1</t>
  </si>
  <si>
    <t>Drone Project</t>
  </si>
  <si>
    <t>Project focuses on getting a lightweight(~2kg) drone operational with minimal error for given commands
On completion of previous milestone, we plan to add autonomous control through mapping, path planning, etc which will be useful for a wide range of applications
Target competitions : IRDC, IRoCu</t>
  </si>
  <si>
    <t>Project Leads</t>
  </si>
  <si>
    <t>Balamurli V, Naitik Goyal</t>
  </si>
  <si>
    <t>Duration</t>
  </si>
  <si>
    <t>2+ Semesters</t>
  </si>
  <si>
    <t>Project 2</t>
  </si>
  <si>
    <t>Biped Project</t>
  </si>
  <si>
    <t>Focuses on building and training a biped robot using Reinforcement Learning to walk.
Start training in simulation, add more realistic constraints to bridge Sim to Real gap
Once we receive parts, build it component by component, with thorough testing of each</t>
  </si>
  <si>
    <t>Shrikant Sonawane, Tushar Hegde</t>
  </si>
  <si>
    <t>Project 3</t>
  </si>
  <si>
    <t>Rover Project</t>
  </si>
  <si>
    <t>Project focuses on building a functioning rover with mapping, path planning, stable communication systems, camera feedback, etc
(Project is mainly meant for competition entry as well as learning robotics while building it.)
Target competition : IRC/IRDC, look at overseas competitions if successful enough</t>
  </si>
  <si>
    <t>Soumya Basuli, Anushaa B</t>
  </si>
  <si>
    <t>3+ Semesters</t>
  </si>
  <si>
    <t>Project 4</t>
  </si>
  <si>
    <t>Robotic Arm Project</t>
  </si>
  <si>
    <t>A stand alone project as well as a supplement to the rover, its first main milestone is getting an arm designed, built and functional so that we can control it with commands.
After the previous milestone, we can work on - Autonomous control, ML algorithms for it, Pair it with computer vision, etc</t>
  </si>
  <si>
    <t>Simarjeet Singh, Tushar Hegde</t>
  </si>
  <si>
    <t>NOTE : Parts not included in budget, approval required once rover reaches a significant milestone</t>
  </si>
  <si>
    <t>Up to 2 Semesters</t>
  </si>
  <si>
    <t>Assorted Resistors</t>
  </si>
  <si>
    <t>robocraze</t>
  </si>
  <si>
    <t>Assorted Capacitors</t>
  </si>
  <si>
    <t>Pushbuttons Pack</t>
  </si>
  <si>
    <t>Projects Planned for 2026-2027</t>
  </si>
  <si>
    <t>Name</t>
  </si>
  <si>
    <t>Timeline</t>
  </si>
  <si>
    <t>1) Crypto Trading bot</t>
  </si>
  <si>
    <t>1 semester</t>
  </si>
  <si>
    <t>2) Case Studies of World Economic situations</t>
  </si>
  <si>
    <t>Goes on for the whole year</t>
  </si>
  <si>
    <t>3) Developing Quantitative finance trading algorithms</t>
  </si>
  <si>
    <t>4) Framework to test Trading Algorithms</t>
  </si>
  <si>
    <t>5) Paper Trading App</t>
  </si>
  <si>
    <t>Project-i) Formula Bharat</t>
  </si>
  <si>
    <t>Project Lead: Nageswar</t>
  </si>
  <si>
    <t>Project Duration: 1 year</t>
  </si>
  <si>
    <t>Toggle Swtiches Pack 3 Amps</t>
  </si>
  <si>
    <t>Project-ii) VTOL Drone</t>
  </si>
  <si>
    <t>Project Lead: Aadhi Shankar</t>
  </si>
  <si>
    <t>1)</t>
  </si>
  <si>
    <t>Zerodha Kite connect Api</t>
  </si>
  <si>
    <t>500 per month</t>
  </si>
  <si>
    <t>12 months</t>
  </si>
  <si>
    <t>https://zerodha.com/products/api/</t>
  </si>
  <si>
    <t>Li-Po Battery</t>
  </si>
  <si>
    <t>Rocker Switch 16 Amps</t>
  </si>
  <si>
    <t>1400Kv Motor</t>
  </si>
  <si>
    <t>2)</t>
  </si>
  <si>
    <t>Trading view Plus Subscription (Annual Billing)</t>
  </si>
  <si>
    <t>2095 per month</t>
  </si>
  <si>
    <t>https://in.tradingview.com/pricing/</t>
  </si>
  <si>
    <t>1100Kv Motor</t>
  </si>
  <si>
    <t>Electronic Speed Controller - 40A</t>
  </si>
  <si>
    <t>Cable Sleeves Pack</t>
  </si>
  <si>
    <t>3)</t>
  </si>
  <si>
    <t>The Captable</t>
  </si>
  <si>
    <t>4000 per year</t>
  </si>
  <si>
    <t>Berg Strips/ Pinheaders Male</t>
  </si>
  <si>
    <t>Electronic Speed Controller - 60A</t>
  </si>
  <si>
    <t>https://the-captable.com/subscription/</t>
  </si>
  <si>
    <t>Power Module</t>
  </si>
  <si>
    <t>Power Distribution Board</t>
  </si>
  <si>
    <t>Shock Absorber</t>
  </si>
  <si>
    <t>Berg Strips/ Pinheaders Female</t>
  </si>
  <si>
    <t>Workshops</t>
  </si>
  <si>
    <t>Event Name</t>
  </si>
  <si>
    <t>Air Speed Sensor</t>
  </si>
  <si>
    <t>Event Date</t>
  </si>
  <si>
    <t>A)</t>
  </si>
  <si>
    <t>Intro to Finance Workshop</t>
  </si>
  <si>
    <t>30th August 2026</t>
  </si>
  <si>
    <t>B)</t>
  </si>
  <si>
    <t>Quantitative Finance Research Workshop</t>
  </si>
  <si>
    <t>24th October 2026</t>
  </si>
  <si>
    <t>Carbon Fiber Tubes</t>
  </si>
  <si>
    <t>D)</t>
  </si>
  <si>
    <t>FinTech Workshop</t>
  </si>
  <si>
    <t>13th March 2027</t>
  </si>
  <si>
    <t>Competitions</t>
  </si>
  <si>
    <t>(All prize money in terms of vouchers)</t>
  </si>
  <si>
    <t>XT60 Connector Pair</t>
  </si>
  <si>
    <t>Description</t>
  </si>
  <si>
    <t>Amount:</t>
  </si>
  <si>
    <t>No.</t>
  </si>
  <si>
    <t>Budget</t>
  </si>
  <si>
    <t>Budget Breakdown:</t>
  </si>
  <si>
    <t>PLA+ 3D printer filament</t>
  </si>
  <si>
    <t>Algo Trading Competition</t>
  </si>
  <si>
    <t>Event Timeline</t>
  </si>
  <si>
    <t>1/2/2027 to 7/2/2027</t>
  </si>
  <si>
    <t>Prize money</t>
  </si>
  <si>
    <t>Prize money in kind</t>
  </si>
  <si>
    <t>PETG 3D printer filament</t>
  </si>
  <si>
    <t>2500+1500+1000</t>
  </si>
  <si>
    <t>Paper Trading Competition</t>
  </si>
  <si>
    <t>Wires Assorted Gauges</t>
  </si>
  <si>
    <t>1/11/2026 to 7/11/2026</t>
  </si>
  <si>
    <t>Potentiometers 10K Pack</t>
  </si>
  <si>
    <t>Case Studies Competition</t>
  </si>
  <si>
    <t>5/9/2026 to 12/9/2026</t>
  </si>
  <si>
    <t>CNC Vacuum cleaner</t>
  </si>
  <si>
    <t>Finance Related Competition</t>
  </si>
  <si>
    <t>TBD</t>
  </si>
  <si>
    <t>AMS1117 3.3V Regulator</t>
  </si>
  <si>
    <t>Pixhawk Flight Controller</t>
  </si>
  <si>
    <t>L7805 5V Regulator</t>
  </si>
  <si>
    <t>Total Budget on events</t>
  </si>
  <si>
    <t>Flysky Fs-I6X Transmitter + Fs-Ia10B Receiver (10Ch)</t>
  </si>
  <si>
    <t>Soldering Wire</t>
  </si>
  <si>
    <t>Event Name: CAD Workshop with Abhikalpa</t>
  </si>
  <si>
    <t>Solering Iron Sponge</t>
  </si>
  <si>
    <t>Tentative Date and Duration: 22nd-23rd August</t>
  </si>
  <si>
    <t>Prize Pool: None</t>
  </si>
  <si>
    <t>Soldering Flux Paste</t>
  </si>
  <si>
    <t xml:space="preserve">Event Name: Model Mania (3D Modelling Competition) with Design </t>
  </si>
  <si>
    <t>Prize pool: 15000</t>
  </si>
  <si>
    <t>Prize Pool</t>
  </si>
  <si>
    <t>JSTConnectors</t>
  </si>
  <si>
    <t>-</t>
  </si>
  <si>
    <r>
      <rPr>
        <u/>
        <sz val="10"/>
        <color rgb="FF1155CC"/>
        <rFont val="Arial"/>
      </rPr>
      <t>robocraze</t>
    </r>
    <r>
      <rPr>
        <u/>
        <sz val="10"/>
        <color rgb="FF1F1F1F"/>
        <rFont val="Arial"/>
      </rPr>
      <t xml:space="preserve">, </t>
    </r>
    <r>
      <rPr>
        <u/>
        <sz val="10"/>
        <color rgb="FF1155CC"/>
        <rFont val="Arial"/>
      </rPr>
      <t>robocraze</t>
    </r>
  </si>
  <si>
    <t>Fuse</t>
  </si>
  <si>
    <t>M3 Screws set</t>
  </si>
  <si>
    <t>robu</t>
  </si>
  <si>
    <t>M4 Screws + Nut Set</t>
  </si>
  <si>
    <t>M2 Screws set</t>
  </si>
  <si>
    <t>M4 Heat Inserts</t>
  </si>
  <si>
    <t>M3 Heat Inserts</t>
  </si>
  <si>
    <t>M2 Heat Inserts</t>
  </si>
  <si>
    <t>robokits</t>
  </si>
  <si>
    <t>PLA</t>
  </si>
  <si>
    <r>
      <rPr>
        <u/>
        <sz val="10"/>
        <color rgb="FF1155CC"/>
        <rFont val="Arial"/>
      </rPr>
      <t>robocraze</t>
    </r>
    <r>
      <rPr>
        <sz val="10"/>
        <color rgb="FF1F1F1F"/>
        <rFont val="Arial"/>
      </rPr>
      <t xml:space="preserve">, </t>
    </r>
    <r>
      <rPr>
        <u/>
        <sz val="10"/>
        <color rgb="FF1155CC"/>
        <rFont val="Arial"/>
      </rPr>
      <t>dream polymers</t>
    </r>
  </si>
  <si>
    <t>PETG</t>
  </si>
  <si>
    <r>
      <rPr>
        <u/>
        <sz val="10"/>
        <color rgb="FF1155CC"/>
        <rFont val="Arial"/>
      </rPr>
      <t>thingbits</t>
    </r>
    <r>
      <rPr>
        <sz val="10"/>
        <color rgb="FF1F1F1F"/>
        <rFont val="Arial"/>
      </rPr>
      <t xml:space="preserve">, </t>
    </r>
    <r>
      <rPr>
        <u/>
        <sz val="10"/>
        <color rgb="FF1155CC"/>
        <rFont val="Arial"/>
      </rPr>
      <t>dream polymers</t>
    </r>
  </si>
  <si>
    <t>ABS</t>
  </si>
  <si>
    <t>dream polymers</t>
  </si>
  <si>
    <t>TPU</t>
  </si>
  <si>
    <t>Nylon</t>
  </si>
  <si>
    <t>CF Reinforced</t>
  </si>
  <si>
    <t>Other 3d Printing Filament</t>
  </si>
  <si>
    <t>Offline</t>
  </si>
  <si>
    <t>Sunboard</t>
  </si>
  <si>
    <t>Elekzone offline</t>
  </si>
  <si>
    <t>Foam Board</t>
  </si>
  <si>
    <t>Elekzone Offline</t>
  </si>
  <si>
    <t>PLA Roll 1kg</t>
  </si>
  <si>
    <t>Rubber band packs</t>
  </si>
  <si>
    <t>Zip Bags</t>
  </si>
  <si>
    <t>Zip Ties</t>
  </si>
  <si>
    <t>Resistors</t>
  </si>
  <si>
    <t>ProtoBoard</t>
  </si>
  <si>
    <t>zbotic</t>
  </si>
  <si>
    <t>Multithread wires</t>
  </si>
  <si>
    <t>Glue gun stick</t>
  </si>
  <si>
    <t>Arena Materials</t>
  </si>
  <si>
    <t>Black tape</t>
  </si>
  <si>
    <t>FeviKwik/Superglue</t>
  </si>
  <si>
    <t>Double Sided Tape</t>
  </si>
  <si>
    <t>Connecting wires</t>
  </si>
  <si>
    <t>Aluminium Extrusions</t>
  </si>
  <si>
    <t>ball bearing</t>
  </si>
  <si>
    <t>link</t>
  </si>
  <si>
    <t>rubber feet</t>
  </si>
  <si>
    <t>Project 1 :</t>
  </si>
  <si>
    <t>Folding Geometry</t>
  </si>
  <si>
    <t>Rajat</t>
  </si>
  <si>
    <t>Entire Sem</t>
  </si>
  <si>
    <t>Project Wing:</t>
  </si>
  <si>
    <t>Product Design wing</t>
  </si>
  <si>
    <t>nut and bolt set</t>
  </si>
  <si>
    <t>Project 2 :</t>
  </si>
  <si>
    <t>2-in-1 Speaker cum Headset</t>
  </si>
  <si>
    <t>Prizes and Event setup</t>
  </si>
  <si>
    <t>Swayam</t>
  </si>
  <si>
    <t>Emergency Fund for Parts</t>
  </si>
  <si>
    <t>Throughout the year</t>
  </si>
  <si>
    <t>Project 3 :</t>
  </si>
  <si>
    <t>UI/UX for Club Websites</t>
  </si>
  <si>
    <t>Tejas</t>
  </si>
  <si>
    <t>Non Recurring Budget</t>
  </si>
  <si>
    <t>UI/UX wing</t>
  </si>
  <si>
    <t>Oled Display</t>
  </si>
  <si>
    <t>Project 4:</t>
  </si>
  <si>
    <t>Campus Beautification(Clock/Timer)</t>
  </si>
  <si>
    <t>Navajeevan</t>
  </si>
  <si>
    <t>Odd sem(2 months)</t>
  </si>
  <si>
    <t>Project 5 :</t>
  </si>
  <si>
    <t>Utility Products</t>
  </si>
  <si>
    <t>Digvijay</t>
  </si>
  <si>
    <t>16*2 LCD Display</t>
  </si>
  <si>
    <t xml:space="preserve">PLA Filament </t>
  </si>
  <si>
    <t>https://robu.in/product/esun-pla-1-75mm-3d-printing-filament-1kg-white/?gad_source=4&amp;gad_campaignid=17419548856&amp;gbraid=0AAAAADvLFWf2SIDUaccUwHlfAeMs4SyYF&amp;gclid=CjwKCAiAj8LLBhAkEiwAJjbY7_Ax0Ms-V39-rIXTAetuf0bjfkTkdPmywgGqwcP6Ya4ZFGptPpkuZxoCngcQAvD_BwE</t>
  </si>
  <si>
    <t>16*2 I2C Adapter for Display</t>
  </si>
  <si>
    <t>ABS Filament</t>
  </si>
  <si>
    <t>https://robu.in/product/esun-abs-1-75mm-3d-printing-filament-1kg-black/?gad_source=1&amp;gad_campaignid=17419548856&amp;gbraid=0AAAAADvLFWc3JzN_Wr3jCjxQoIzq7fWr-&amp;gclid=CjwKCAjwxITRBhBYEiwA6mZm7eTCt1IRF-HOmaR16DaCDbQet-uMRKTdGoiybo4LzY7rcv_KqRTU7BoCQV0QAvD_BwE</t>
  </si>
  <si>
    <t>LiPo 1-8s Battery monitor</t>
  </si>
  <si>
    <t>Joystick Module</t>
  </si>
  <si>
    <t>NRF24L01 Trans-receiver</t>
  </si>
  <si>
    <t>NRF24L01 Adapters</t>
  </si>
  <si>
    <t>Graphic Tablets</t>
  </si>
  <si>
    <t xml:space="preserve"> https://amzn.in/d/0fAzV3DA</t>
  </si>
  <si>
    <t>Buzzer</t>
  </si>
  <si>
    <t xml:space="preserve">Justification </t>
  </si>
  <si>
    <t>IMU BNO055</t>
  </si>
  <si>
    <t>thinkrobotics</t>
  </si>
  <si>
    <t>Parts for Projects</t>
  </si>
  <si>
    <t>MX1508 Motor Driver Mini</t>
  </si>
  <si>
    <t>CSR8645 Wireless 4.0 Amplifier Board</t>
  </si>
  <si>
    <t>https://robu.in/product/csr8645-wireless-4-0-amplifier-board-5w5w-apt-x-stereo-receiver-amplifier-module/</t>
  </si>
  <si>
    <t>Buck Converter</t>
  </si>
  <si>
    <t>ESP32-WROOM-32 38Pin Development Board WiFi+Bluetooth</t>
  </si>
  <si>
    <r>
      <rPr>
        <u/>
        <sz val="10"/>
        <color rgb="FF1155CC"/>
        <rFont val="Arial"/>
      </rPr>
      <t>Product Link</t>
    </r>
  </si>
  <si>
    <t>DC Power Supply</t>
  </si>
  <si>
    <t>40mm 32 Ohm Mylar Headphone Drivers (Pair)</t>
  </si>
  <si>
    <t>https://www.amazon.in/Electronic-Spices-Woofer-Double-Speaker/dp/B0BN442KJZ/ref=pb_allspark_dp_sims_pao_desktop_session_based_d_sccl_1_2/522-4252313-0357849?pd_rd_w=he2Md&amp;content-id=amzn1.sym.e84a26b2-5470-42e6-b7fa-162e7bb17185&amp;pf_rd_p=e84a26b2-5470-42e6-b7fa-162e7bb17185&amp;pf_rd_r=KHDBEVJ1MS92BKKBQMSP&amp;pd_rd_wg=qkYT8&amp;pd_rd_r=3dc08e33-159d-40df-8b2f-cbe58170ea67&amp;pd_rd_i=B0BN442KJZ&amp;psc=1</t>
  </si>
  <si>
    <t>Miscellaneous Components</t>
  </si>
  <si>
    <t>PIR Sensor</t>
  </si>
  <si>
    <t>Microphone Sensor</t>
  </si>
  <si>
    <t>40mm 3W 4 Ohm Mini External Speaker Drivers</t>
  </si>
  <si>
    <t>https://www.amazon.in/ERH-India-Bluetooth-Portable-Loudspeaker/dp/B08V1LMMTD</t>
  </si>
  <si>
    <t>Gas Sensor MQ2</t>
  </si>
  <si>
    <t>PAM8403 2x3W Class D Audio Amplifier Board</t>
  </si>
  <si>
    <r>
      <rPr>
        <u/>
        <sz val="10"/>
        <color rgb="FF1155CC"/>
        <rFont val="Arial"/>
      </rPr>
      <t>Product Link</t>
    </r>
  </si>
  <si>
    <t>LDR Sensor Module</t>
  </si>
  <si>
    <t>SmartElex TP4056 Li-ion Battery Charger Module</t>
  </si>
  <si>
    <t>Heat Flame Sensor</t>
  </si>
  <si>
    <t>https://robu.in/product/smartelex-tp4056-li-ion-battery-charger/</t>
  </si>
  <si>
    <t>Temperature Sensor</t>
  </si>
  <si>
    <t>3.7V 2000mAH 2PIN Connector Lipo Rechargeable Battery Model</t>
  </si>
  <si>
    <t>https://www.amazon.in/KP-Original-Battery-Rechargeable-KP-603048/dp/B0GM6RKSB4?source=ps-sl-shoppingads-lpcontext&amp;ref_=fplfs&amp;psc=1&amp;smid=A3QQB9C2QXM7ZJ</t>
  </si>
  <si>
    <t>Nose Plier</t>
  </si>
  <si>
    <t>A3144 Hall Effect Magnetic Sensor Module</t>
  </si>
  <si>
    <r>
      <rPr>
        <u/>
        <sz val="10"/>
        <color rgb="FF1155CC"/>
        <rFont val="Arial"/>
      </rPr>
      <t>Product Link</t>
    </r>
  </si>
  <si>
    <t>Miscellaneous (Enamelled Wires, Screws, Aux Jacks)</t>
  </si>
  <si>
    <t>18650 Single Cell Lithium Battery Holder</t>
  </si>
  <si>
    <t>product link</t>
  </si>
  <si>
    <t>Crimping Plier Set</t>
  </si>
  <si>
    <t>18650 Rechargeable Li-Ion Battery 3.7V 4400mAh</t>
  </si>
  <si>
    <t>8" Plier</t>
  </si>
  <si>
    <t>Soldering Iron</t>
  </si>
  <si>
    <r>
      <rPr>
        <u/>
        <sz val="10"/>
        <color rgb="FF1155CC"/>
        <rFont val="Arial"/>
      </rPr>
      <t>robocraze</t>
    </r>
    <r>
      <rPr>
        <sz val="10"/>
        <color rgb="FF1F1F1F"/>
        <rFont val="Arial"/>
      </rPr>
      <t xml:space="preserve">, </t>
    </r>
    <r>
      <rPr>
        <u/>
        <sz val="10"/>
        <color rgb="FF1155CC"/>
        <rFont val="Arial"/>
      </rPr>
      <t>robocraze</t>
    </r>
  </si>
  <si>
    <t>ART IFACT 100 Meters Enameled Copper Wire</t>
  </si>
  <si>
    <t>18650 Lithium Battery Charging Protection Board (C-TYPE)</t>
  </si>
  <si>
    <t>Soldering Iron Stand</t>
  </si>
  <si>
    <t>Step-Up Voltage Booster Converter Module</t>
  </si>
  <si>
    <t>Soldering Helping Hand</t>
  </si>
  <si>
    <t>Screw Driver Set With 2 Flat Tip Blades</t>
  </si>
  <si>
    <t>Vernier Caliper</t>
  </si>
  <si>
    <t>amazon</t>
  </si>
  <si>
    <t>Multimeter</t>
  </si>
  <si>
    <t>1/4 Inch Hex Shank Screwdriver Bit Holder Set</t>
  </si>
  <si>
    <t>Wirecutters</t>
  </si>
  <si>
    <t>25mm Insert Bits of 1/4" Hex Shank</t>
  </si>
  <si>
    <t>Screwdriver Set</t>
  </si>
  <si>
    <t>IRFZ44n Mosfet</t>
  </si>
  <si>
    <t>PID Tuning frame materials</t>
  </si>
  <si>
    <t>BOSCH Drill Kit</t>
  </si>
  <si>
    <t>1N5819 Schottky Diode</t>
  </si>
  <si>
    <t>Push Button</t>
  </si>
  <si>
    <t>Measuring Tape 10M</t>
  </si>
  <si>
    <t>ON/Off Round Boat Rocker Switch AC 6A 250V</t>
  </si>
  <si>
    <t>Aluminium Profiles + Nets for Rig</t>
  </si>
  <si>
    <t>5mm LED Lights,</t>
  </si>
  <si>
    <t>Tripod</t>
  </si>
  <si>
    <t>10K Ohm 2W Axial Lead Resistor</t>
  </si>
  <si>
    <t>https://amzn.in/d/0csUipi5</t>
  </si>
  <si>
    <t>100 Ohm 1/4 Watt Resistor</t>
  </si>
  <si>
    <t>https://amzn.in/d/00PoE6vS</t>
  </si>
  <si>
    <t>Solderless Breadboard</t>
  </si>
  <si>
    <t>https://amzn.in/d/0g0Lp6bJ</t>
  </si>
  <si>
    <t>Self Healing working mats</t>
  </si>
  <si>
    <t>Universal PCB Prototype Board Double-Side Green</t>
  </si>
  <si>
    <t>https://amzn.in/d/0epeFKJn</t>
  </si>
  <si>
    <t>Electronic Spices combo of (10m red and 10m black) electric wire</t>
  </si>
  <si>
    <t>https://amzn.in/d/0brIKQC5</t>
  </si>
  <si>
    <t>Polyolefin Heat Shrink Tube</t>
  </si>
  <si>
    <t>https://amzn.in/d/08e1McUv</t>
  </si>
  <si>
    <t>Plastic Storage Boxes</t>
  </si>
  <si>
    <t>Wall peg board</t>
  </si>
  <si>
    <t>ETI Kapton Polyimide Heat Resistant/Thermal Tape</t>
  </si>
  <si>
    <t>https://amzn.in/d/03NhFbF8</t>
  </si>
  <si>
    <t>1S 3.7V 500mah LiPo Battery</t>
  </si>
  <si>
    <t>Brass Insert M3 x 5mm Heat Set Threaded</t>
  </si>
  <si>
    <t>https://amzn.in/d/01IaRnjs</t>
  </si>
  <si>
    <t>N20 3.7V - 6V Micro Gear Reduction DC Motor</t>
  </si>
  <si>
    <t>https://amzn.in/d/0e7SmWtp</t>
  </si>
  <si>
    <t>18650 Battery</t>
  </si>
  <si>
    <t xml:space="preserve">Emergency/miscellaneous </t>
  </si>
  <si>
    <t>18650 Holder (2 Cell)</t>
  </si>
  <si>
    <t>TowerPro SG90 Mini Servo</t>
  </si>
  <si>
    <t>https://robu.in/product/towerpro-sg90-9g-mini-servo-9-gram/?gad_source=1&amp;gad_campaignid=20381096599&amp;gbraid=0AAAAADvLFWeqoCRmzqGYmGA8zVjHlvaPb&amp;gclid=Cj0KCQjwh4TVBhCWARIsAG0czmouBWicR9iM-HSqSE4R7o1HlA4L-HEw568wvJQSm7qs6YFN7gJLrk0aAp6FEALw_wcB</t>
  </si>
  <si>
    <t>18650 Chargers</t>
  </si>
  <si>
    <t>elekzone</t>
  </si>
  <si>
    <t>5V or 12V adapters</t>
  </si>
  <si>
    <t>2s Lipo 5000mAh Battery</t>
  </si>
  <si>
    <t>https://robu.in/product/pro-range-inr-18650-7-4v-5000mah-3c-2s2p-li-ion-battery-pack-in-a-line-with-dc-jack-male-female/?gad_source=1&amp;gad_campaignid=17427802559&amp;gbraid=0AAAAADvLFWftV_HhkkYTTQYXz5XmNiLpW&amp;gclid=Cj0KCQjwh4TVBhCWARIsAG0czmpNRsHFcgaLrhOTDPMFATK2P1iMpivIHfHxf5iO4XL9CwYj_JCuiicaAnSnEALw_wcB</t>
  </si>
  <si>
    <t>65 mm Propellers (Pack of 4)</t>
  </si>
  <si>
    <t>PCA9685 is a 16-channel, 12-bit pulse-width modulation (PWM)</t>
  </si>
  <si>
    <t>https://www.amazon.in/Techtonics-16-Channel-interface-PCA9685-Raspberry/dp/B0842YG61G</t>
  </si>
  <si>
    <t>8520 Coreless Motors (Pack of 4)</t>
  </si>
  <si>
    <t>Arduino nano</t>
  </si>
  <si>
    <r>
      <rPr>
        <u/>
        <sz val="10"/>
        <color rgb="FF1155CC"/>
        <rFont val="Arial"/>
      </rPr>
      <t>Product Link</t>
    </r>
  </si>
  <si>
    <t>BO Motors</t>
  </si>
  <si>
    <t>DS3231 RTC</t>
  </si>
  <si>
    <t>https://robu.in/product/ds1302-real-time-clock-module-cr2032-battery/?gad_source=1&amp;gad_campaignid=17416544847&amp;gbraid=0AAAAADvLFWeWc3ETUMqspBgCqRUFanBmg&amp;gclid=Cj0KCQjwh4TVBhCWARIsAG0czmrhoA_yubrDRfHrQfmRzaDpEOSgO0XYH9mim0pqdzfsSdq2a5herEsaAsbsEALw_wcB</t>
  </si>
  <si>
    <t>Breadboard</t>
  </si>
  <si>
    <t>5V,20A buck converter</t>
  </si>
  <si>
    <t>https://www.amazon.in/DC-CONVERTER-12-24V-20a/dp/B07N8V399S</t>
  </si>
  <si>
    <t>Breakout board</t>
  </si>
  <si>
    <t>Chassis kit</t>
  </si>
  <si>
    <t>ESP32</t>
  </si>
  <si>
    <t>Glue gun</t>
  </si>
  <si>
    <t>L293D Driver Module</t>
  </si>
  <si>
    <t>L298N Driver Module</t>
  </si>
  <si>
    <t>Event Name: Character Design Competititon(50)</t>
  </si>
  <si>
    <t>Tentative Date and Duration: Start of the next sem</t>
  </si>
  <si>
    <t>LDR Sensors</t>
  </si>
  <si>
    <t>MG995</t>
  </si>
  <si>
    <t>MOSFETSs(SI2302)</t>
  </si>
  <si>
    <t>Event Name: 3D modelling competition(50) with Ingene</t>
  </si>
  <si>
    <t>Event Name: Art Gallery (Part of PARSEC)</t>
  </si>
  <si>
    <t>Micro Usb cable</t>
  </si>
  <si>
    <t xml:space="preserve">Workshops </t>
  </si>
  <si>
    <t>Workshop Name: CAD workshop with ingene</t>
  </si>
  <si>
    <t>Workshop Name: Graphic Design workshop(100)</t>
  </si>
  <si>
    <t>MPU6050</t>
  </si>
  <si>
    <t>Canva-Design purpose for UI/UX and Graphic Design wing</t>
  </si>
  <si>
    <t>4000/yearly</t>
  </si>
  <si>
    <t>Multiple computers</t>
  </si>
  <si>
    <t>N20 Motor</t>
  </si>
  <si>
    <t>Photoshop-Design purpose for the Graphic Design Wing</t>
  </si>
  <si>
    <t>4800/yearly</t>
  </si>
  <si>
    <t>One license (2 computers)</t>
  </si>
  <si>
    <t>https://www.adobe.com/in/creativecloud/buy/students/photoshop.html?sdid=GZKZXL77&amp;mv=search&amp;mv2=paidsearch&amp;ef_id=Cj0KCQjwz9_QBhD_ARIsADnSCfATdjb4UjaHnvWxrX1nbUkqSkRWkH873LEcg_QWjPlIPJXx7b-jpa4aAp1PEALw_wcB:G:s&amp;s_kwcid=AL!3085!3!807640324992!b!!g!!photoshop%20student!23578738074!192972009026&amp;mv=search&amp;gad_source=1&amp;gad_campaignid=23578738074&amp;gbraid=0AAAAADql_CD3UTgOEfVMEo8jqIXYr3bBL&amp;gclid=Cj0KCQjwz9_QBhD_ARIsADnSCfATdjb4UjaHnvWxrX1nbUkqSkRWkH873LEcg_QWjPlIPJXx7b-jpa4aAp1PEALw_wcB#crm-all-apps</t>
  </si>
  <si>
    <t>N20 Motor Wheels</t>
  </si>
  <si>
    <t>Push button Set</t>
  </si>
  <si>
    <t>SD card holder</t>
  </si>
  <si>
    <t>Envato Elements</t>
  </si>
  <si>
    <t>23000/yearly</t>
  </si>
  <si>
    <t>https://secure.elements.envato.com/subscribe?ct=smp&amp;lang=en&amp;steps=false&amp;renewalInterval=year&amp;tier=tier1</t>
  </si>
  <si>
    <t>Screwdriver</t>
  </si>
  <si>
    <t>SG90</t>
  </si>
  <si>
    <t>Simple USB 1S LiPo chargers</t>
  </si>
  <si>
    <t>Rocker Switch</t>
  </si>
  <si>
    <t>TCRT5000</t>
  </si>
  <si>
    <t>SOT-23 to DIP Adapters</t>
  </si>
  <si>
    <t>Time-of-flight sensor</t>
  </si>
  <si>
    <t>Ultrasonic sensor(HC-SR04)</t>
  </si>
  <si>
    <t>Pixhawk 6C Mini</t>
  </si>
  <si>
    <t>DHT22</t>
  </si>
  <si>
    <t>M10 GPS + Compass Module</t>
  </si>
  <si>
    <t>PMW3901 Optical Flow Sensor</t>
  </si>
  <si>
    <t>Benewake TFmini-S LiDAR</t>
  </si>
  <si>
    <t>ExpressLRS RX24T 2.4G Receiver</t>
  </si>
  <si>
    <t xml:space="preserve">3S LiPo Battery  </t>
  </si>
  <si>
    <t>5V/5A BEC</t>
  </si>
  <si>
    <t>Holybro Power Distribution Board (PDB) (With XT30 Pre-soldered)</t>
  </si>
  <si>
    <t>LJI X4 500</t>
  </si>
  <si>
    <t>DJI 2212 920KV Brushless DC Motor for Drone with Black Cap (CW Motor Rotation)</t>
  </si>
  <si>
    <t>2212 920KV Brushless DC Motor for DJI Silver Cap (CCW Motor Rotation)</t>
  </si>
  <si>
    <t>35A BLHeli_32 4-in-1 ESC</t>
  </si>
  <si>
    <t>HQProp Thin Electric Pusher Prop 10x5R (2CW) Propeller</t>
  </si>
  <si>
    <t>HQProp Thin Electric Prop 10x5 (2CCW) Propeller</t>
  </si>
  <si>
    <t>Battery management System (6s, 40A)</t>
  </si>
  <si>
    <t>Planetary geared motors</t>
  </si>
  <si>
    <t>Motor Driver</t>
  </si>
  <si>
    <t>Battery</t>
  </si>
  <si>
    <t>64GB UHS-I microSD Card</t>
  </si>
  <si>
    <t>Raspberry pi connectors, wires, etc</t>
  </si>
  <si>
    <t>Robu</t>
  </si>
  <si>
    <t>GPS Module (NEO M8N)</t>
  </si>
  <si>
    <t>IMU</t>
  </si>
  <si>
    <t>Red switch</t>
  </si>
  <si>
    <t>USB cam modules</t>
  </si>
  <si>
    <t>Ethernet Module</t>
  </si>
  <si>
    <t xml:space="preserve">IMU </t>
  </si>
  <si>
    <t>Project-i) Star and weather condition tracker website for IIT Dharwad</t>
  </si>
  <si>
    <t>Project Lead: Rithika Athawade</t>
  </si>
  <si>
    <t>Project Duration: 3 months</t>
  </si>
  <si>
    <t>Project-ii) AI used for stacking of images</t>
  </si>
  <si>
    <t>Bus Servo Motor</t>
  </si>
  <si>
    <t>project lead: Rahul Mudavath</t>
  </si>
  <si>
    <r>
      <rPr>
        <u/>
        <sz val="10"/>
        <color rgb="FF1155CC"/>
        <rFont val="Arial"/>
      </rPr>
      <t>link</t>
    </r>
    <r>
      <rPr>
        <sz val="10"/>
        <rFont val="Arial"/>
      </rPr>
      <t xml:space="preserve">
</t>
    </r>
  </si>
  <si>
    <t>bus communication</t>
  </si>
  <si>
    <t>PBD</t>
  </si>
  <si>
    <t>Event 1</t>
  </si>
  <si>
    <t>Fresher's Workshop</t>
  </si>
  <si>
    <t>Introductory session to the absolute basics of robotics, and info on what to do next if interested.</t>
  </si>
  <si>
    <t>Tentative Dates</t>
  </si>
  <si>
    <t>plan</t>
  </si>
  <si>
    <t>Expected attendees</t>
  </si>
  <si>
    <t>100-130</t>
  </si>
  <si>
    <t>Based on last years data</t>
  </si>
  <si>
    <t>Event 2</t>
  </si>
  <si>
    <t>Fresher's Buildathon</t>
  </si>
  <si>
    <t>Workshop will be followed by a Build a thon a few weeks after - with an open ended problem statement, the creativity will be in the hands of the students participating</t>
  </si>
  <si>
    <t>Prizes</t>
  </si>
  <si>
    <t>Expected participants</t>
  </si>
  <si>
    <t>Upto 90</t>
  </si>
  <si>
    <t>Event 3</t>
  </si>
  <si>
    <t>Line Strike</t>
  </si>
  <si>
    <t>Classic line follower competition . 
Kits will be provided for the participants.
A track will be made and participants will be judged on speed and accuracy</t>
  </si>
  <si>
    <t xml:space="preserve">BRESSER Hunter 10x50 BINOCULARS </t>
  </si>
  <si>
    <t>https://www.tejraj.com/product/bresser-hunter-10x50-binoculars</t>
  </si>
  <si>
    <t>Upto 80</t>
  </si>
  <si>
    <t>Estimate</t>
  </si>
  <si>
    <t>Event 4</t>
  </si>
  <si>
    <t>Drone Challenge</t>
  </si>
  <si>
    <t>48 hour drone hackathon.
The drone must autonomously navigate a fixed physical obstacle course of known dimensions with no visual feedback OR
The drone should find the brightest light source in a room and move towards it.</t>
  </si>
  <si>
    <t>Solar filter for binocs</t>
  </si>
  <si>
    <r>
      <rPr>
        <u/>
        <sz val="10"/>
        <color rgb="FF000000"/>
        <rFont val="Arial"/>
      </rPr>
      <t>Solar Filter for Binocular, Solar Filter For 10x50 Binocular, Baader Solar Film</t>
    </r>
  </si>
  <si>
    <t>Upto 60</t>
  </si>
  <si>
    <t>12V 7Amp | Rechargeable Power Tank</t>
  </si>
  <si>
    <r>
      <rPr>
        <u/>
        <sz val="10"/>
        <color rgb="FF000000"/>
        <rFont val="Arial"/>
      </rPr>
      <t>Power Tank | Telescope Power Supply | GoTo Power Supply | Portable Power Supply</t>
    </r>
  </si>
  <si>
    <t>Satellite TV dish</t>
  </si>
  <si>
    <t>1420 MHz Low noise Amplifier</t>
  </si>
  <si>
    <r>
      <rPr>
        <u/>
        <sz val="10"/>
        <color rgb="FF1155CC"/>
        <rFont val="Arial"/>
      </rPr>
      <t>Nooelec Lana - Ultra Low-Noise Amplifier (LNA) Module for RF &amp; Software Defined Radio (SDR) with Enclosure &amp; Accessories. Wideband 20MHz-4000MHz Frequency Capability with Bias Tee &amp; USB Power Options : Amazon.in: Musical Instruments</t>
    </r>
  </si>
  <si>
    <t>1420 MHz band pass filter</t>
  </si>
  <si>
    <r>
      <rPr>
        <u/>
        <sz val="10"/>
        <color rgb="FF1155CC"/>
        <rFont val="Arial"/>
      </rPr>
      <t>1420 MHz Bandpass Filter – GPIO LABS</t>
    </r>
  </si>
  <si>
    <t xml:space="preserve">RLT-SDR V4 </t>
  </si>
  <si>
    <r>
      <rPr>
        <u/>
        <sz val="10"/>
        <color rgb="FF1155CC"/>
        <rFont val="Arial"/>
      </rPr>
      <t>Buy RTL-SDR Blog V4 R828D RTL2832U 1PPM TCXO SMA Software Defined Radio Dongle only online | Robu.in</t>
    </r>
  </si>
  <si>
    <t>SMA/N Adaptors(pack of 4)</t>
  </si>
  <si>
    <r>
      <rPr>
        <u/>
        <sz val="10"/>
        <color rgb="FF1155CC"/>
        <rFont val="Arial"/>
      </rPr>
      <t>HALMAX SMA Female to N Female RF Adapter, 50 Ohm Coaxial Connector for RF Testing, Antennas, Wireless Communication, WiFi, SDR, Ham Radio &amp; Broadcast Equipment (Pack of 4) : Amazon.in: Computers &amp; Accessories</t>
    </r>
  </si>
  <si>
    <t>Coaxial Cable</t>
  </si>
  <si>
    <r>
      <rPr>
        <u/>
        <sz val="10"/>
        <color rgb="FF1155CC"/>
        <rFont val="Arial"/>
      </rPr>
      <t>Rf Lmr 400 N-Male To N -Male Connector Low Loss Coaxial Extension Cable For/3G/4G/5G/Lte/Ads-B/Ham/Gps/Wifi/Rf Radio To Antenna Use signal booster (Not For Tv, Black, 50 Ohm, 32.8 feet,10 meters. : Amazon.in: Electronics</t>
    </r>
  </si>
  <si>
    <t>1mm Aluminium Sheet</t>
  </si>
  <si>
    <r>
      <rPr>
        <u/>
        <sz val="10"/>
        <color rgb="FF1155CC"/>
        <rFont val="Arial"/>
      </rPr>
      <t>VITSZEE Pure Aluminium Sheet Metal Plate</t>
    </r>
  </si>
  <si>
    <t>Aluminium for waveguide/throat</t>
  </si>
  <si>
    <t>SMA female bulkhead connector</t>
  </si>
  <si>
    <t>Copper/brass rod for probe</t>
  </si>
  <si>
    <t>M3/M4 screws, nuts and washers</t>
  </si>
  <si>
    <t>Conductive aluminium tape</t>
  </si>
  <si>
    <t>PVC/nylon mounting piece</t>
  </si>
  <si>
    <t>Off-Campus</t>
  </si>
  <si>
    <t>Event Name: Astronomy talk</t>
  </si>
  <si>
    <t>Tentative Date and Duration: Odd semester</t>
  </si>
  <si>
    <t>Event Name: Open stargazing session/event</t>
  </si>
  <si>
    <t>Tentative Date and Duration: Odd/even sem(possibly in parsec)</t>
  </si>
  <si>
    <t>Prize Pool (1st)</t>
  </si>
  <si>
    <t>Prize Pool (2nd)</t>
  </si>
  <si>
    <t>Prize Pool  (3rd)</t>
  </si>
  <si>
    <t>Project-i) RISC-V Microprocessor</t>
  </si>
  <si>
    <t>Off Campus</t>
  </si>
  <si>
    <t>Project Lead: Harshvardhan</t>
  </si>
  <si>
    <t>Project Duration: Aug 2026 - Mar 2027</t>
  </si>
  <si>
    <t>Event Name: Dark sky expedition</t>
  </si>
  <si>
    <t>Project-ii) Communication Protocols</t>
  </si>
  <si>
    <t>Bus(transport)</t>
  </si>
  <si>
    <t>Project Lead: Maanas</t>
  </si>
  <si>
    <t>Astro farm entry/package</t>
  </si>
  <si>
    <t>Project Duration: Aug 2026 - Dec 2026</t>
  </si>
  <si>
    <t>Food &amp; refreshments</t>
  </si>
  <si>
    <t>Water/snacks</t>
  </si>
  <si>
    <t>Project-iii) Analog Synthesizer</t>
  </si>
  <si>
    <t>Miscellaneous/emergency</t>
  </si>
  <si>
    <t>Project Lead: Tanish</t>
  </si>
  <si>
    <t>Activities/extra charges</t>
  </si>
  <si>
    <t>Project-iv) Gesture Control Lock &amp; Controlling BLDC motor using FOC</t>
  </si>
  <si>
    <t>Project Lead: Shrikant</t>
  </si>
  <si>
    <t>Project-v) LoRa Network System</t>
  </si>
  <si>
    <t>Project Lead: Aamer</t>
  </si>
  <si>
    <t>Soldering station</t>
  </si>
  <si>
    <t>Solder Station</t>
  </si>
  <si>
    <t>General Inventory</t>
  </si>
  <si>
    <t>Solder Wire</t>
  </si>
  <si>
    <t>De-Soldering Wire</t>
  </si>
  <si>
    <t>De-Solder Wick</t>
  </si>
  <si>
    <t>64GB MicroSD</t>
  </si>
  <si>
    <t>SD Card</t>
  </si>
  <si>
    <t>eSUN PLA+ 1.75mm 3D Printing Filament 1kg-White</t>
  </si>
  <si>
    <t>Printing Filament</t>
  </si>
  <si>
    <t>eSUN PLA+ 1.75mm 3D Printing Filament 1kg-Black</t>
  </si>
  <si>
    <t>Wire Wrap 230m Red</t>
  </si>
  <si>
    <t>Wire</t>
  </si>
  <si>
    <t>Wire Wrap 230m Black</t>
  </si>
  <si>
    <t>Digilent Basys 3 Artix-7 FPGA Trainer Board</t>
  </si>
  <si>
    <t>https://robu.in/product/digilent-basys-3-artix-7-fpga-trainer-board/</t>
  </si>
  <si>
    <t>Digital VLSI</t>
  </si>
  <si>
    <t>Micro USB-A to Micro-B Cable 100cm Data &amp; Power Cable</t>
  </si>
  <si>
    <t>https://robu.in/product/micro-usb-a-to-micro-b-cable-120cm/</t>
  </si>
  <si>
    <t>Bambu P2S 3D Printer</t>
  </si>
  <si>
    <t>It would help us build better project prototypes by allowing us to make custom enclosures, mounts, and mechanical parts whenever needed</t>
  </si>
  <si>
    <t>Hakko Soldering Tip - Conical (900M-T-1.2D)</t>
  </si>
  <si>
    <t>Soldering Tip</t>
  </si>
  <si>
    <t>Multitec 150B Wire Stripper and Cutter Durable Electronics Tool</t>
  </si>
  <si>
    <t>Cutter</t>
  </si>
  <si>
    <t>Official Arduino Nano A000005</t>
  </si>
  <si>
    <t>Needed for embedded systems discussions, workshops, and demonstrations involving microcontroller programming and interfacing. These were previously borrowed from the Robotics Club for club activities</t>
  </si>
  <si>
    <t>Nano Board R3 CH340 chip With USB Mini Cable compatible with Arduino (soldered)</t>
  </si>
  <si>
    <t>Official Arduino Uno Rev3 A000066</t>
  </si>
  <si>
    <t>Arduino Uno</t>
  </si>
  <si>
    <t>Official Arduino Mega 2560 ATmega2560 MCU Rev3 A000067</t>
  </si>
  <si>
    <t>Arduino Mega</t>
  </si>
  <si>
    <t>Official Arduino Nano ESP32-S3 without Headers ABX00092</t>
  </si>
  <si>
    <t>Arduino Nano ESP32</t>
  </si>
  <si>
    <t>Needed for embedded and communication projects involving wireless applications using Wi-Fi and Bluetooth connectivity</t>
  </si>
  <si>
    <t>ESP-WROOM-32 WIFI Bluetooth Networking Smart Component Development Board</t>
  </si>
  <si>
    <t>Raspberry Pi 5 Model 8GB RAM</t>
  </si>
  <si>
    <t>Raspberry Pi</t>
  </si>
  <si>
    <t>One for embedded project (Gesture Control Lock) and one for electronic display in the campus</t>
  </si>
  <si>
    <t>Arduino Nano USB A-Mini B 1.2m Cable Nickel-Plated Connector</t>
  </si>
  <si>
    <t>Nano Cable</t>
  </si>
  <si>
    <t>Arduino USB A-B Cable 3.11ft Stable Data Cable for UNO/MEGA</t>
  </si>
  <si>
    <t>Mega/Uno Calbe</t>
  </si>
  <si>
    <t>Official 27W USB-C PD Power Supply for Raspberry Pi 5 – Black(Plug Type :IN)</t>
  </si>
  <si>
    <t>Adaptor</t>
  </si>
  <si>
    <t>Breadboard (long)</t>
  </si>
  <si>
    <t>Breadboard (small)</t>
  </si>
  <si>
    <t>9 x 15 cm Universal PCB Prototype Board Double-Side</t>
  </si>
  <si>
    <t>PCB</t>
  </si>
  <si>
    <t>7 X 9 CM Universal PCB Prototype Board Double-sided</t>
  </si>
  <si>
    <t>HTC 830L+ Digital Multimeter</t>
  </si>
  <si>
    <t>Multi-meter Test Probes Cable Set Test</t>
  </si>
  <si>
    <t>Multimeter Probes</t>
  </si>
  <si>
    <t>Jumper wires</t>
  </si>
  <si>
    <t>Jumper Wires</t>
  </si>
  <si>
    <t>LEDs</t>
  </si>
  <si>
    <t>Black 1.5M Micro HDMI to, HDMI Copper-Clad Steel, Cable for Raspberry Pi 4B</t>
  </si>
  <si>
    <t>HDMI cables</t>
  </si>
  <si>
    <t>Waveshare 10.1inch Capacitive Touch Display, Optical Bonding Toughened Glass Panel</t>
  </si>
  <si>
    <t>IPS Display</t>
  </si>
  <si>
    <t>logic IC Assortment kit</t>
  </si>
  <si>
    <t>Logic IC Kit</t>
  </si>
  <si>
    <t>200Pcs 0410 1UH-4.7MH 0.5W Color Ring Inductor Kit (20 types of 10 pieces each type)</t>
  </si>
  <si>
    <t>Inductor Kit</t>
  </si>
  <si>
    <t>16 Pin DIP IC Socket Base Adaptor</t>
  </si>
  <si>
    <t>IC Sockets 16 pin</t>
  </si>
  <si>
    <t>14 Pin DIP IC Socket Base Adaptor</t>
  </si>
  <si>
    <t>IC Sockets 14 pin</t>
  </si>
  <si>
    <t>Berg pins</t>
  </si>
  <si>
    <t>Berg Pins</t>
  </si>
  <si>
    <t>Mixed IC Chip Kit</t>
  </si>
  <si>
    <t>https://robu.in/product/150-pcs-mixed-ic-chip-kit-op-amps-oscillators/</t>
  </si>
  <si>
    <t>Analog VLSI</t>
  </si>
  <si>
    <t>TL072 Dual JFET Op-Amp</t>
  </si>
  <si>
    <t>https://robu.in/product/tl062-hlf-dual-low-power-jfet-input-operational-amplifier-ic/</t>
  </si>
  <si>
    <t>TL074 Quad JFET Op-Amp</t>
  </si>
  <si>
    <t>https://robu.in/product/tl074-hlf-low-noise-jfet-input-quad-operational-amplifier-ic/</t>
  </si>
  <si>
    <t>BC547 NPN Signal Transistor</t>
  </si>
  <si>
    <t>https://robu.in/product/bc547-npn-transistor-pack-of-20/</t>
  </si>
  <si>
    <t>BC557 PNP Signal Transistor</t>
  </si>
  <si>
    <t>https://robu.in/product/bc557-pnp-transistor-pack-of-20/</t>
  </si>
  <si>
    <t>1N4148 Fast Signal Diode</t>
  </si>
  <si>
    <t>https://robu.in/product/1n4148-1w-zener-diode-pack-of-50/</t>
  </si>
  <si>
    <t>1N4007 Power Rectifier Diode</t>
  </si>
  <si>
    <t>https://robu.in/product/1n4007-through-hole-diodepack-of-5000/</t>
  </si>
  <si>
    <t>Zener Diode Assortment</t>
  </si>
  <si>
    <t>https://robu.in/product/pro-range-200pcs-1w-voltage-regulator-diode-kit/</t>
  </si>
  <si>
    <t>1% Metal Film Resistor Kit</t>
  </si>
  <si>
    <t>https://robu.in/product/30-different-valued-metal-film-resistor-assorted-kit-for-diy-electronic-projects-and-experiments/</t>
  </si>
  <si>
    <t>potentiometer kit</t>
  </si>
  <si>
    <t>https://robu.in/product/pro-range-50pcs-3296w-adjustable-potentiometer-kit/</t>
  </si>
  <si>
    <t>10kΩ Linear Panel Pot (B10K)</t>
  </si>
  <si>
    <t>https://robu.in/product/10k-ohm-3pin-15mm-shaft-potentiometer-pack-of-3/</t>
  </si>
  <si>
    <t>100kΩ Linear Panel Pot (B100K)</t>
  </si>
  <si>
    <t>https://robu.in/product/100k-ohm-3pin-15mm-shaft-potentiometer-pack-of-3/</t>
  </si>
  <si>
    <t>Electrolytic Capacitor Kit</t>
  </si>
  <si>
    <t>https://robu.in/product/pro-range-500pcs-0-1uf-1000uf-plug-in-electrolytic-capacitor-kit/</t>
  </si>
  <si>
    <t>Ceramic Disc Capacitor Kit</t>
  </si>
  <si>
    <t>https://robu.in/product/pro-range-960pcs-2pf-100nf-ceramic-capacitor-kit/</t>
  </si>
  <si>
    <t>LM358 Dual Op-Amp</t>
  </si>
  <si>
    <t>https://robu.in/product/lm358p-pdip-8-high-gain-operational-amplifier-pack-of-5-ics/</t>
  </si>
  <si>
    <t>Rasberry camera module 3</t>
  </si>
  <si>
    <t>https://robu.in/product/raspberry-pi-camera-module-3/</t>
  </si>
  <si>
    <t>Embedded Systems</t>
  </si>
  <si>
    <t xml:space="preserve">digital servo motor </t>
  </si>
  <si>
    <t>https://robu.in/product/towerpro-mg996r-digital-high-torque-servo-motor/</t>
  </si>
  <si>
    <t>magnetic encoder</t>
  </si>
  <si>
    <r>
      <rPr>
        <b/>
        <u/>
        <sz val="10"/>
        <color rgb="FF000000"/>
        <rFont val="Arial"/>
      </rPr>
      <t>MT6835 21BIT Magnetic Encoder PWM SPI Module | Robu.in</t>
    </r>
  </si>
  <si>
    <t>FOC driver</t>
  </si>
  <si>
    <t>https://www.amazon.in/BenchRobotics-SimpleFOC-Mini-Robotics-Projects/dp/B0GPND5THL?source=ps-sl-shoppingads-lpcontext&amp;ref_=fplfs&amp;psc=1&amp;smid=ALAX6L91S6ESG&amp;utm_source=chatgpt.com</t>
  </si>
  <si>
    <t>BLDC motor</t>
  </si>
  <si>
    <t>https://robu.in/product/flycci-brushless-motors-bgm2606-90-90kv/?utm_source=chatgpt.com</t>
  </si>
  <si>
    <t>Logic level shifter</t>
  </si>
  <si>
    <t>https://robu.in/product/level-converter-4-channel/</t>
  </si>
  <si>
    <t>mcp2515 CAN module</t>
  </si>
  <si>
    <t>https://robu.in/product/mcp2515-can-module-tja1050-receiver-spi-51-single-chip-program-routine-arduino/</t>
  </si>
  <si>
    <t>power jack connector</t>
  </si>
  <si>
    <t>https://robu.in/product/female-2-15-5mm-for-dc-power-jack-adapter-connector-plug-for-cctv-camera-pack-of-2/</t>
  </si>
  <si>
    <t>12v dc power supply</t>
  </si>
  <si>
    <t>https://robu.in/product/standard-12v-2a-power-supply-with-5-5mm-dc-plug-3-pin-input-plug/</t>
  </si>
  <si>
    <t>Beaglebone black development board</t>
  </si>
  <si>
    <t>https://robu.in/product/beaglebone-black-rev-c/</t>
  </si>
  <si>
    <t>Chip whisperer nano</t>
  </si>
  <si>
    <t>https://robu.in/product/newae-nae-cwnano-development-boards-kits/</t>
  </si>
  <si>
    <t>HackRF One</t>
  </si>
  <si>
    <t>https://robu.in/product/hackrf-one/</t>
  </si>
  <si>
    <t>Communication Systems</t>
  </si>
  <si>
    <t>Needed for communication and wireless systems projects, enabling hands-on learning and experimentation with Software Defined Radio (SDR), signal processing, and RF communication</t>
  </si>
  <si>
    <t>LoRa Module with SX1262 chip</t>
  </si>
  <si>
    <t>https://robu.in/product/waveshare-core-sx1262-868m-lora-module/</t>
  </si>
  <si>
    <t>Emergency Components</t>
  </si>
  <si>
    <t xml:space="preserve">Event Name: PCB Design Workshop                </t>
  </si>
  <si>
    <t xml:space="preserve">Tentative Date and Duration: 16 Aug 2026 - 16 Aug 2026        </t>
  </si>
  <si>
    <t>Components</t>
  </si>
  <si>
    <t xml:space="preserve">Event Name: RTL2GDSII - VLSI Workshop                              </t>
  </si>
  <si>
    <t xml:space="preserve">Tentative Date and Duration: 10 April 2027 - 11 April 2027        </t>
  </si>
  <si>
    <t xml:space="preserve">Event Name: Industry Talk                                         </t>
  </si>
  <si>
    <t xml:space="preserve">Tentative Date and Duration: 8 Nov 2026 - 8 Nov 2026        </t>
  </si>
  <si>
    <t xml:space="preserve">Event Name: LTSpice Workshop                                                    </t>
  </si>
  <si>
    <t xml:space="preserve">Tentative Date and Duration: 14 March 2027 - 14 March 2027              </t>
  </si>
  <si>
    <t xml:space="preserve">Event Name: Voltverse                                                        </t>
  </si>
  <si>
    <t xml:space="preserve">Tentative Date and Duration: 11 Oct 2026 - 18 Oct 2026        </t>
  </si>
  <si>
    <t>Prize Pool: Rs. 15000</t>
  </si>
  <si>
    <t>Prize Money Pool</t>
  </si>
  <si>
    <t>S.No.</t>
  </si>
  <si>
    <t>Items</t>
  </si>
  <si>
    <t>Mentors</t>
  </si>
  <si>
    <t>Winners</t>
  </si>
  <si>
    <t>Goodies + Merch</t>
  </si>
  <si>
    <t>Coding Club PS-1 
(PathMatrix)</t>
  </si>
  <si>
    <t>Coding Club PS-2 
(RealmShift Odyssey)</t>
  </si>
  <si>
    <t>Coding Club PS-3
(eBPF Sentinel)</t>
  </si>
  <si>
    <t>SDS Club PS-1
(GeoSnap)</t>
  </si>
  <si>
    <t>No. of Students</t>
  </si>
  <si>
    <t>Cost for each student</t>
  </si>
  <si>
    <t>SDS Club PS-2
(PowerCube)</t>
  </si>
  <si>
    <t>Travelling</t>
  </si>
  <si>
    <t>Merch</t>
  </si>
  <si>
    <t>AI Club PS-1
(PromptWise)</t>
  </si>
  <si>
    <t>Daily Allowance</t>
  </si>
  <si>
    <t>AI Club PS-2
(CacheMind)</t>
  </si>
  <si>
    <t>AI Club PS-3
(MediGuide)</t>
  </si>
  <si>
    <t>AI Club PS-4
(PolyLearn)</t>
  </si>
  <si>
    <t>On-Campus fees</t>
  </si>
  <si>
    <t>Design Club PS-1
(GlyphCraft)</t>
  </si>
  <si>
    <t>Registration costs</t>
  </si>
  <si>
    <t>Design Club PS-2
(Kigumi Design)</t>
  </si>
  <si>
    <t>Electronics Club PS
(BeyondBits)</t>
  </si>
  <si>
    <t>Contingent Uniforms</t>
  </si>
  <si>
    <t>Problem Statements related Expenditure</t>
  </si>
  <si>
    <t>Ingene Club PS
(MaterialSnap)</t>
  </si>
  <si>
    <t>Astronomy Club PS
(Orbitron)</t>
  </si>
  <si>
    <t>Robotics Club PS-1
(Cartographer)</t>
  </si>
  <si>
    <t>Robotics Club PS-2
(IronGrip)</t>
  </si>
  <si>
    <t>Robotics Club PS-3
(CyberLeg)</t>
  </si>
  <si>
    <t>Finance Club PS 
(Art of Compounding)</t>
  </si>
  <si>
    <t>Miscellaneous</t>
  </si>
  <si>
    <t>Grand Total</t>
  </si>
  <si>
    <t>Miscellaneous (Certificates, Offline Implementation, etc.)</t>
  </si>
  <si>
    <t>Club Merchandise</t>
  </si>
  <si>
    <t>Merch Type</t>
  </si>
  <si>
    <t>No Of Members (Max.)</t>
  </si>
  <si>
    <t>Robotics</t>
  </si>
  <si>
    <t>T-Shirt</t>
  </si>
  <si>
    <t>Electronics</t>
  </si>
  <si>
    <t>Hoodie</t>
  </si>
  <si>
    <t>SDS</t>
  </si>
  <si>
    <t>InGene</t>
  </si>
  <si>
    <t>Astronomy</t>
  </si>
  <si>
    <t>Coding club</t>
  </si>
  <si>
    <t>Design club</t>
  </si>
  <si>
    <t>T-shirt</t>
  </si>
  <si>
    <t>Insolvent</t>
  </si>
  <si>
    <t>Secretaries</t>
  </si>
  <si>
    <t>Hoodie+T-shirt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</si>
</sst>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0.00"/>
  </numFmts>
  <fonts count="84">
    <font>
      <sz val="10"/>
      <color rgb="FF000000"/>
      <name val="Arial"/>
      <scheme val="minor"/>
    </font>
    <font>
      <b/>
      <sz val="10"/>
      <color theme="1"/>
      <name val="Arial"/>
      <scheme val="minor"/>
    </font>
    <font>
      <b/>
      <sz val="10"/>
      <color rgb="FF000000"/>
      <name val="Arial"/>
      <scheme val="minor"/>
    </font>
    <font>
      <b/>
      <sz val="10"/>
      <color rgb="FF000000"/>
      <name val="Arial"/>
    </font>
    <font>
      <sz val="10"/>
      <color rgb="FF000000"/>
      <name val="Arial"/>
      <scheme val="minor"/>
    </font>
    <font>
      <sz val="10"/>
      <color theme="1"/>
      <name val="Arial"/>
      <scheme val="minor"/>
    </font>
    <font>
      <sz val="10"/>
      <color rgb="FF000000"/>
      <name val="Arial"/>
    </font>
    <font>
      <sz val="10"/>
      <name val="Arial"/>
    </font>
    <font>
      <sz val="10"/>
      <color theme="1"/>
      <name val="Arial"/>
    </font>
    <font>
      <u/>
      <sz val="10"/>
      <color rgb="FF000000"/>
      <name val="Arial"/>
    </font>
    <font>
      <u/>
      <sz val="10"/>
      <color rgb="FF000000"/>
      <name val="Arial"/>
    </font>
    <font>
      <u/>
      <sz val="10"/>
      <color rgb="FF000000"/>
      <name val="Arial"/>
    </font>
    <font>
      <u/>
      <sz val="10"/>
      <color rgb="FF000000"/>
      <name val="Arial"/>
    </font>
    <font>
      <sz val="10"/>
      <color rgb="FFFFFFFF"/>
      <name val="Arial"/>
      <scheme val="minor"/>
    </font>
    <font>
      <u/>
      <sz val="10"/>
      <color rgb="FFFFFFFF"/>
      <name val="Arial"/>
    </font>
    <font>
      <u/>
      <sz val="10"/>
      <color rgb="FF000000"/>
      <name val="Arial"/>
    </font>
    <font>
      <b/>
      <sz val="10"/>
      <color rgb="FF000000"/>
      <name val="Plus Jakarta Sans"/>
    </font>
    <font>
      <b/>
      <sz val="10"/>
      <color rgb="FF000000"/>
      <name val="Roboto"/>
    </font>
    <font>
      <u/>
      <sz val="10"/>
      <color rgb="FF000000"/>
      <name val="Arial"/>
    </font>
    <font>
      <b/>
      <sz val="10"/>
      <color theme="1"/>
      <name val="Calibri"/>
    </font>
    <font>
      <sz val="10"/>
      <color theme="1"/>
      <name val="Calibri"/>
    </font>
    <font>
      <u/>
      <sz val="10"/>
      <color rgb="FF1155CC"/>
      <name val="Calibri"/>
    </font>
    <font>
      <b/>
      <sz val="10"/>
      <color rgb="FF333333"/>
      <name val="Calibri"/>
    </font>
    <font>
      <u/>
      <sz val="11"/>
      <color rgb="FF0000FF"/>
      <name val="Calibri"/>
    </font>
    <font>
      <sz val="11"/>
      <color theme="1"/>
      <name val="Calibri"/>
    </font>
    <font>
      <u/>
      <sz val="11"/>
      <color rgb="FF0000FF"/>
      <name val="Calibri"/>
    </font>
    <font>
      <b/>
      <sz val="11"/>
      <color rgb="FF000000"/>
      <name val="Arial"/>
    </font>
    <font>
      <b/>
      <sz val="10"/>
      <color rgb="FF000000"/>
      <name val="Arial"/>
      <scheme val="minor"/>
    </font>
    <font>
      <u/>
      <sz val="10"/>
      <color rgb="FF1155CC"/>
      <name val="Arial"/>
    </font>
    <font>
      <sz val="10"/>
      <color theme="1"/>
      <name val="Arial"/>
      <scheme val="minor"/>
    </font>
    <font>
      <u/>
      <sz val="10"/>
      <color rgb="FF000000"/>
      <name val="Arial"/>
    </font>
    <font>
      <sz val="10"/>
      <color rgb="FF000000"/>
      <name val="Arial"/>
    </font>
    <font>
      <sz val="10"/>
      <color rgb="FF0000FF"/>
      <name val="Arial"/>
    </font>
    <font>
      <u/>
      <sz val="10"/>
      <color rgb="FF1155CC"/>
      <name val="Arial"/>
    </font>
    <font>
      <sz val="11"/>
      <color rgb="FF000000"/>
      <name val="Calibri"/>
    </font>
    <font>
      <u/>
      <sz val="10"/>
      <color rgb="FF000000"/>
      <name val="Arial"/>
    </font>
    <font>
      <u/>
      <sz val="10"/>
      <color rgb="FF0000FF"/>
      <name val="Arial"/>
    </font>
    <font>
      <u/>
      <sz val="10"/>
      <color rgb="FF000000"/>
      <name val="Arial"/>
    </font>
    <font>
      <u/>
      <sz val="10"/>
      <color rgb="FF000000"/>
      <name val="Arial"/>
    </font>
    <font>
      <u/>
      <sz val="10"/>
      <color rgb="FF000000"/>
      <name val="Arial"/>
    </font>
    <font>
      <u/>
      <sz val="10"/>
      <color rgb="FF000000"/>
      <name val="Arial"/>
    </font>
    <font>
      <sz val="10"/>
      <color theme="1"/>
      <name val="Arial"/>
    </font>
    <font>
      <u/>
      <sz val="10"/>
      <color rgb="FF0000FF"/>
      <name val="Arial"/>
    </font>
    <font>
      <sz val="10"/>
      <color rgb="FF000000"/>
      <name val="Arial"/>
    </font>
    <font>
      <u/>
      <sz val="10"/>
      <color rgb="FF0000FF"/>
      <name val="Arial"/>
    </font>
    <font>
      <u/>
      <sz val="10"/>
      <color rgb="FF0000FF"/>
      <name val="Arial"/>
    </font>
    <font>
      <sz val="10"/>
      <color rgb="FF0F1111"/>
      <name val="&quot;Amazon Ember&quot;"/>
    </font>
    <font>
      <u/>
      <sz val="10"/>
      <color rgb="FF0000FF"/>
      <name val="Arial"/>
    </font>
    <font>
      <u/>
      <sz val="10"/>
      <color rgb="FF0000FF"/>
      <name val="Arial"/>
    </font>
    <font>
      <strike/>
      <sz val="10"/>
      <color rgb="FF000000"/>
      <name val="Arial"/>
      <scheme val="minor"/>
    </font>
    <font>
      <u/>
      <sz val="10"/>
      <color rgb="FF1155CC"/>
      <name val="Arial"/>
    </font>
    <font>
      <sz val="10"/>
      <color rgb="FF0F1111"/>
      <name val="Arial"/>
    </font>
    <font>
      <u/>
      <sz val="10"/>
      <color rgb="FF0000FF"/>
      <name val="Arial"/>
    </font>
    <font>
      <sz val="10"/>
      <color rgb="FF000033"/>
      <name val="Arial"/>
      <scheme val="minor"/>
    </font>
    <font>
      <u/>
      <sz val="10"/>
      <color rgb="FF000000"/>
      <name val="Arial"/>
    </font>
    <font>
      <sz val="11"/>
      <color rgb="FF000000"/>
      <name val="Arial"/>
    </font>
    <font>
      <u/>
      <sz val="10"/>
      <color rgb="FF000000"/>
      <name val="Arial"/>
    </font>
    <font>
      <u/>
      <sz val="10"/>
      <color rgb="FF000000"/>
      <name val="Arial"/>
    </font>
    <font>
      <u/>
      <sz val="10"/>
      <color rgb="FF0000FF"/>
      <name val="Arial"/>
    </font>
    <font>
      <b/>
      <u/>
      <sz val="10"/>
      <color rgb="FF000000"/>
      <name val="Arial"/>
    </font>
    <font>
      <b/>
      <u/>
      <sz val="10"/>
      <color rgb="FF000000"/>
      <name val="Arial"/>
    </font>
    <font>
      <b/>
      <u/>
      <sz val="10"/>
      <color rgb="FF0000FF"/>
      <name val="Arial"/>
    </font>
    <font>
      <b/>
      <u/>
      <sz val="10"/>
      <color rgb="FF000000"/>
      <name val="Arial"/>
    </font>
    <font>
      <sz val="10"/>
      <color rgb="FF000000"/>
      <name val="Amazon Ember"/>
    </font>
    <font>
      <b/>
      <u/>
      <sz val="10"/>
      <color rgb="FF000000"/>
      <name val="Arial"/>
    </font>
    <font>
      <sz val="10"/>
      <color rgb="FF000000"/>
      <name val="Google Sans Text"/>
    </font>
    <font>
      <b/>
      <u/>
      <sz val="10"/>
      <color rgb="FF000000"/>
      <name val="Arial"/>
    </font>
    <font>
      <b/>
      <u/>
      <sz val="10"/>
      <color rgb="FF000000"/>
      <name val="Arial"/>
    </font>
    <font>
      <b/>
      <u/>
      <sz val="10"/>
      <color rgb="FF000000"/>
      <name val="Arial"/>
    </font>
    <font>
      <b/>
      <u/>
      <sz val="10"/>
      <color rgb="FF000000"/>
      <name val="Arial"/>
    </font>
    <font>
      <b/>
      <sz val="11"/>
      <color theme="1"/>
      <name val="Times New Roman"/>
    </font>
    <font>
      <sz val="11"/>
      <color theme="1"/>
      <name val="Times New Roman"/>
    </font>
    <font>
      <sz val="9"/>
      <color rgb="FF000000"/>
      <name val="Arial"/>
    </font>
    <font>
      <sz val="10"/>
      <color theme="1"/>
      <name val="Times New Roman"/>
    </font>
    <font>
      <sz val="10"/>
      <color rgb="FF23262F"/>
      <name val="Monospace"/>
    </font>
    <font>
      <b/>
      <sz val="10"/>
      <color theme="1"/>
      <name val="Arial"/>
    </font>
    <font>
      <sz val="12"/>
      <color theme="1"/>
      <name val="Times New Roman"/>
    </font>
    <font>
      <u/>
      <sz val="12"/>
      <color theme="1"/>
      <name val="Times New Roman"/>
    </font>
    <font>
      <u/>
      <sz val="12"/>
      <color theme="1"/>
      <name val="Times New Roman"/>
    </font>
    <font>
      <u/>
      <sz val="12"/>
      <color theme="1"/>
      <name val="Times New Roman"/>
    </font>
    <font>
      <sz val="12"/>
      <color rgb="FF000000"/>
      <name val="Times New Roman"/>
    </font>
    <font>
      <b/>
      <sz val="12"/>
      <color theme="1"/>
      <name val="Times New Roman"/>
    </font>
    <font>
      <u/>
      <sz val="10"/>
      <color rgb="FF1F1F1F"/>
      <name val="Arial"/>
    </font>
    <font>
      <sz val="10"/>
      <color rgb="FF1F1F1F"/>
      <name val="Arial"/>
    </font>
  </fonts>
  <fills count="7">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F3F3F3"/>
        <bgColor rgb="FFF3F3F3"/>
      </patternFill>
    </fill>
    <fill>
      <patternFill patternType="solid">
        <fgColor rgb="FFFF9900"/>
        <bgColor rgb="FFFF9900"/>
      </patternFill>
    </fill>
    <fill>
      <patternFill patternType="solid">
        <fgColor rgb="FFEFEFEF"/>
        <bgColor rgb="FFEFEFE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249">
    <xf numFmtId="0" fontId="0" fillId="0" borderId="0" xfId="0"/>
    <xf numFmtId="0" fontId="1" fillId="2" borderId="1" xfId="0" applyFont="1" applyFill="1" applyBorder="1"/>
    <xf numFmtId="0" fontId="2" fillId="0" borderId="0" xfId="0" applyFont="1"/>
    <xf numFmtId="0" fontId="3" fillId="0" borderId="1" xfId="0" applyFont="1" applyBorder="1"/>
    <xf numFmtId="0" fontId="4" fillId="0" borderId="0" xfId="0" applyFont="1"/>
    <xf numFmtId="0" fontId="5" fillId="2" borderId="0" xfId="0" applyFont="1" applyFill="1"/>
    <xf numFmtId="0" fontId="6" fillId="0" borderId="0" xfId="0" applyFont="1"/>
    <xf numFmtId="0" fontId="6" fillId="0" borderId="1" xfId="0" applyFont="1" applyBorder="1"/>
    <xf numFmtId="0" fontId="2" fillId="0" borderId="1" xfId="0" applyFont="1" applyBorder="1"/>
    <xf numFmtId="0" fontId="5" fillId="2" borderId="1" xfId="0" applyFont="1" applyFill="1" applyBorder="1"/>
    <xf numFmtId="0" fontId="4" fillId="0" borderId="1" xfId="0" applyFont="1" applyBorder="1"/>
    <xf numFmtId="0" fontId="6" fillId="0" borderId="1" xfId="0" applyFont="1" applyBorder="1" applyAlignment="1">
      <alignment horizontal="right"/>
    </xf>
    <xf numFmtId="0" fontId="1" fillId="2" borderId="0" xfId="0" applyFont="1" applyFill="1"/>
    <xf numFmtId="0" fontId="3" fillId="0" borderId="0" xfId="0" applyFont="1"/>
    <xf numFmtId="0" fontId="3" fillId="0" borderId="1" xfId="0" applyFont="1" applyBorder="1" applyAlignment="1">
      <alignment wrapText="1"/>
    </xf>
    <xf numFmtId="0" fontId="6" fillId="0" borderId="1" xfId="0" applyFont="1" applyBorder="1" applyAlignment="1">
      <alignment horizontal="center" wrapText="1"/>
    </xf>
    <xf numFmtId="0" fontId="8" fillId="0" borderId="1" xfId="0" applyFont="1" applyBorder="1" applyAlignment="1">
      <alignment horizontal="right"/>
    </xf>
    <xf numFmtId="0" fontId="6" fillId="0" borderId="1" xfId="0" applyFont="1" applyBorder="1" applyAlignment="1">
      <alignment horizontal="right" wrapText="1"/>
    </xf>
    <xf numFmtId="3" fontId="5" fillId="2" borderId="1" xfId="0" applyNumberFormat="1" applyFont="1" applyFill="1" applyBorder="1"/>
    <xf numFmtId="0" fontId="9" fillId="0" borderId="1" xfId="0" applyFont="1" applyBorder="1" applyAlignment="1">
      <alignment horizontal="center" wrapText="1"/>
    </xf>
    <xf numFmtId="0" fontId="10" fillId="0" borderId="1" xfId="0" applyFont="1" applyBorder="1"/>
    <xf numFmtId="4" fontId="5" fillId="2" borderId="1" xfId="0" applyNumberFormat="1" applyFont="1" applyFill="1" applyBorder="1"/>
    <xf numFmtId="4" fontId="4" fillId="2" borderId="1" xfId="0" applyNumberFormat="1" applyFont="1" applyFill="1" applyBorder="1" applyAlignment="1">
      <alignment horizontal="right"/>
    </xf>
    <xf numFmtId="0" fontId="3" fillId="0" borderId="1" xfId="0" applyFont="1" applyBorder="1" applyAlignment="1">
      <alignment horizontal="right" wrapText="1"/>
    </xf>
    <xf numFmtId="0" fontId="11" fillId="0" borderId="1" xfId="0" applyFont="1" applyBorder="1"/>
    <xf numFmtId="0" fontId="6" fillId="0" borderId="1" xfId="0" applyFont="1" applyBorder="1" applyAlignment="1">
      <alignment horizontal="center"/>
    </xf>
    <xf numFmtId="0" fontId="12" fillId="0" borderId="1" xfId="0" applyFont="1" applyBorder="1" applyAlignment="1">
      <alignment horizontal="center"/>
    </xf>
    <xf numFmtId="49" fontId="8" fillId="2" borderId="0" xfId="0" applyNumberFormat="1" applyFont="1" applyFill="1" applyAlignment="1">
      <alignment horizontal="right" wrapText="1"/>
    </xf>
    <xf numFmtId="49" fontId="8" fillId="2" borderId="0" xfId="0" applyNumberFormat="1" applyFont="1" applyFill="1" applyAlignment="1">
      <alignment horizontal="right"/>
    </xf>
    <xf numFmtId="0" fontId="13" fillId="0" borderId="0" xfId="0" applyFont="1"/>
    <xf numFmtId="0" fontId="14" fillId="0" borderId="0" xfId="0" applyFont="1"/>
    <xf numFmtId="0" fontId="15" fillId="0" borderId="1" xfId="0" applyFont="1" applyBorder="1" applyAlignment="1">
      <alignment horizontal="center"/>
    </xf>
    <xf numFmtId="0" fontId="4" fillId="2" borderId="1" xfId="0" applyFont="1" applyFill="1" applyBorder="1"/>
    <xf numFmtId="0" fontId="4" fillId="2" borderId="0" xfId="0" applyFont="1" applyFill="1"/>
    <xf numFmtId="0" fontId="16" fillId="0" borderId="1" xfId="0" applyFont="1" applyBorder="1"/>
    <xf numFmtId="0" fontId="17" fillId="2" borderId="1" xfId="0" applyFont="1" applyFill="1" applyBorder="1"/>
    <xf numFmtId="0" fontId="18" fillId="0" borderId="1" xfId="0" applyFont="1" applyBorder="1"/>
    <xf numFmtId="0" fontId="19" fillId="0" borderId="1" xfId="0" applyFont="1" applyBorder="1"/>
    <xf numFmtId="0" fontId="20" fillId="0" borderId="1" xfId="0" applyFont="1" applyBorder="1" applyAlignment="1">
      <alignment horizontal="center"/>
    </xf>
    <xf numFmtId="0" fontId="20" fillId="0" borderId="1" xfId="0" applyFont="1" applyBorder="1" applyAlignment="1">
      <alignment horizontal="right"/>
    </xf>
    <xf numFmtId="0" fontId="21" fillId="0" borderId="1" xfId="0" applyFont="1" applyBorder="1" applyAlignment="1">
      <alignment horizontal="center"/>
    </xf>
    <xf numFmtId="0" fontId="20" fillId="0" borderId="1" xfId="0" applyFont="1" applyBorder="1"/>
    <xf numFmtId="0" fontId="22" fillId="0" borderId="1" xfId="0" applyFont="1" applyBorder="1" applyAlignment="1">
      <alignment wrapText="1"/>
    </xf>
    <xf numFmtId="0" fontId="23" fillId="0" borderId="1" xfId="0" applyFont="1" applyBorder="1"/>
    <xf numFmtId="0" fontId="24" fillId="0" borderId="1" xfId="0" applyFont="1" applyBorder="1"/>
    <xf numFmtId="0" fontId="25"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right"/>
    </xf>
    <xf numFmtId="0" fontId="6" fillId="0" borderId="1" xfId="0" applyFont="1" applyBorder="1" applyAlignment="1">
      <alignment wrapText="1"/>
    </xf>
    <xf numFmtId="0" fontId="3" fillId="2" borderId="0" xfId="0" applyFont="1" applyFill="1" applyAlignment="1">
      <alignment horizontal="center" vertical="center"/>
    </xf>
    <xf numFmtId="0" fontId="26" fillId="0" borderId="1" xfId="0" applyFont="1" applyBorder="1" applyAlignment="1">
      <alignment horizontal="center" wrapText="1"/>
    </xf>
    <xf numFmtId="0" fontId="26" fillId="0" borderId="1" xfId="0" applyFont="1" applyBorder="1" applyAlignment="1">
      <alignment horizontal="center"/>
    </xf>
    <xf numFmtId="0" fontId="8" fillId="0" borderId="1" xfId="0" applyFont="1" applyBorder="1"/>
    <xf numFmtId="0" fontId="27" fillId="0" borderId="0" xfId="0" applyFont="1"/>
    <xf numFmtId="0" fontId="27" fillId="0" borderId="1" xfId="0" applyFont="1" applyBorder="1"/>
    <xf numFmtId="0" fontId="0" fillId="0" borderId="1" xfId="0" applyBorder="1"/>
    <xf numFmtId="0" fontId="28" fillId="0" borderId="1" xfId="0" applyFont="1" applyBorder="1"/>
    <xf numFmtId="0" fontId="0" fillId="0" borderId="1" xfId="0" applyBorder="1" applyAlignment="1">
      <alignment horizontal="right"/>
    </xf>
    <xf numFmtId="0" fontId="29" fillId="0" borderId="0" xfId="0" applyFont="1"/>
    <xf numFmtId="164" fontId="6" fillId="0" borderId="0" xfId="0" applyNumberFormat="1" applyFont="1"/>
    <xf numFmtId="165" fontId="6" fillId="0" borderId="0" xfId="0" applyNumberFormat="1" applyFont="1"/>
    <xf numFmtId="0" fontId="27" fillId="0" borderId="1" xfId="0" applyFont="1" applyBorder="1" applyAlignment="1">
      <alignment horizontal="right"/>
    </xf>
    <xf numFmtId="0" fontId="30" fillId="0" borderId="1" xfId="0" applyFont="1" applyBorder="1"/>
    <xf numFmtId="0" fontId="31" fillId="0" borderId="1" xfId="0" applyFont="1" applyBorder="1"/>
    <xf numFmtId="0" fontId="29" fillId="0" borderId="1" xfId="0" applyFont="1" applyBorder="1"/>
    <xf numFmtId="0" fontId="32" fillId="0" borderId="1" xfId="0" applyFont="1" applyBorder="1"/>
    <xf numFmtId="0" fontId="8" fillId="2" borderId="1" xfId="0" applyFont="1" applyFill="1" applyBorder="1"/>
    <xf numFmtId="0" fontId="8" fillId="2" borderId="1" xfId="0" applyFont="1" applyFill="1" applyBorder="1" applyAlignment="1">
      <alignment horizontal="right"/>
    </xf>
    <xf numFmtId="0" fontId="33" fillId="2" borderId="1" xfId="0" applyFont="1" applyFill="1" applyBorder="1"/>
    <xf numFmtId="0" fontId="27" fillId="0" borderId="1" xfId="0" applyFont="1" applyBorder="1" applyAlignment="1">
      <alignment horizontal="center"/>
    </xf>
    <xf numFmtId="0" fontId="0" fillId="0" borderId="1" xfId="0" applyBorder="1" applyAlignment="1">
      <alignment horizontal="center"/>
    </xf>
    <xf numFmtId="0" fontId="5" fillId="0" borderId="1" xfId="0" applyFont="1" applyBorder="1"/>
    <xf numFmtId="0" fontId="27" fillId="0" borderId="0" xfId="0" applyFont="1" applyAlignment="1">
      <alignment horizontal="right"/>
    </xf>
    <xf numFmtId="0" fontId="6" fillId="0" borderId="0" xfId="0" applyFont="1" applyAlignment="1">
      <alignment horizontal="right"/>
    </xf>
    <xf numFmtId="0" fontId="3" fillId="0" borderId="0" xfId="0" applyFont="1" applyAlignment="1">
      <alignment horizontal="right"/>
    </xf>
    <xf numFmtId="0" fontId="34" fillId="0" borderId="0" xfId="0" applyFont="1"/>
    <xf numFmtId="0" fontId="35" fillId="0" borderId="0" xfId="0" applyFont="1"/>
    <xf numFmtId="0" fontId="36" fillId="0" borderId="1" xfId="0" applyFont="1" applyBorder="1"/>
    <xf numFmtId="0" fontId="6" fillId="2" borderId="1" xfId="0" applyFont="1" applyFill="1" applyBorder="1"/>
    <xf numFmtId="0" fontId="6" fillId="2" borderId="1" xfId="0" applyFont="1" applyFill="1" applyBorder="1" applyAlignment="1">
      <alignment horizontal="right"/>
    </xf>
    <xf numFmtId="0" fontId="37" fillId="2" borderId="1" xfId="0" applyFont="1" applyFill="1" applyBorder="1"/>
    <xf numFmtId="0" fontId="3" fillId="0" borderId="5" xfId="0" applyFont="1" applyBorder="1"/>
    <xf numFmtId="0" fontId="6" fillId="0" borderId="5" xfId="0" applyFont="1" applyBorder="1"/>
    <xf numFmtId="0" fontId="3" fillId="0" borderId="6" xfId="0" applyFont="1" applyBorder="1"/>
    <xf numFmtId="0" fontId="3" fillId="0" borderId="7" xfId="0" applyFont="1" applyBorder="1"/>
    <xf numFmtId="0" fontId="6" fillId="0" borderId="6" xfId="0" applyFont="1" applyBorder="1"/>
    <xf numFmtId="0" fontId="6" fillId="0" borderId="7" xfId="0" applyFont="1" applyBorder="1" applyAlignment="1">
      <alignment horizontal="right"/>
    </xf>
    <xf numFmtId="0" fontId="38" fillId="0" borderId="1" xfId="0" applyFont="1" applyBorder="1"/>
    <xf numFmtId="0" fontId="39" fillId="0" borderId="1" xfId="0" applyFont="1" applyBorder="1"/>
    <xf numFmtId="0" fontId="40" fillId="0" borderId="0" xfId="0" applyFont="1"/>
    <xf numFmtId="0" fontId="41" fillId="0" borderId="1" xfId="0" applyFont="1" applyBorder="1" applyAlignment="1">
      <alignment horizontal="right"/>
    </xf>
    <xf numFmtId="0" fontId="41" fillId="0" borderId="1" xfId="0" applyFont="1" applyBorder="1" applyAlignment="1">
      <alignment horizontal="left"/>
    </xf>
    <xf numFmtId="4" fontId="41" fillId="0" borderId="1" xfId="0" applyNumberFormat="1" applyFont="1" applyBorder="1" applyAlignment="1">
      <alignment horizontal="right"/>
    </xf>
    <xf numFmtId="0" fontId="42" fillId="0" borderId="1" xfId="0" applyFont="1" applyBorder="1"/>
    <xf numFmtId="0" fontId="43" fillId="0" borderId="0" xfId="0" applyFont="1"/>
    <xf numFmtId="0" fontId="44" fillId="0" borderId="1" xfId="0" applyFont="1" applyBorder="1" applyAlignment="1">
      <alignment horizontal="left"/>
    </xf>
    <xf numFmtId="0" fontId="45" fillId="0" borderId="1" xfId="0" applyFont="1" applyBorder="1"/>
    <xf numFmtId="0" fontId="46" fillId="2" borderId="1" xfId="0" applyFont="1" applyFill="1" applyBorder="1"/>
    <xf numFmtId="4" fontId="6" fillId="0" borderId="1" xfId="0" applyNumberFormat="1" applyFont="1" applyBorder="1" applyAlignment="1">
      <alignment horizontal="right"/>
    </xf>
    <xf numFmtId="0" fontId="47" fillId="0" borderId="1" xfId="0" applyFont="1" applyBorder="1"/>
    <xf numFmtId="0" fontId="48" fillId="0" borderId="1" xfId="0" applyFont="1" applyBorder="1"/>
    <xf numFmtId="0" fontId="49" fillId="0" borderId="0" xfId="0" applyFont="1"/>
    <xf numFmtId="0" fontId="50" fillId="0" borderId="1" xfId="0" applyFont="1" applyBorder="1"/>
    <xf numFmtId="0" fontId="51" fillId="2" borderId="1" xfId="0" applyFont="1" applyFill="1" applyBorder="1"/>
    <xf numFmtId="0" fontId="52" fillId="0" borderId="1" xfId="0" applyFont="1" applyBorder="1"/>
    <xf numFmtId="0" fontId="53" fillId="0" borderId="1" xfId="0" applyFont="1" applyBorder="1"/>
    <xf numFmtId="0" fontId="54" fillId="0" borderId="1" xfId="0" applyFont="1" applyBorder="1"/>
    <xf numFmtId="4" fontId="3" fillId="0" borderId="1" xfId="0" applyNumberFormat="1" applyFont="1" applyBorder="1" applyAlignment="1">
      <alignment horizontal="right"/>
    </xf>
    <xf numFmtId="0" fontId="3" fillId="0" borderId="3" xfId="0" applyFont="1" applyBorder="1"/>
    <xf numFmtId="0" fontId="3" fillId="0" borderId="8" xfId="0" applyFont="1" applyBorder="1"/>
    <xf numFmtId="0" fontId="55" fillId="0" borderId="1" xfId="0" applyFont="1" applyBorder="1" applyAlignment="1">
      <alignment wrapText="1"/>
    </xf>
    <xf numFmtId="3" fontId="8" fillId="0" borderId="1" xfId="0" applyNumberFormat="1" applyFont="1" applyBorder="1" applyAlignment="1">
      <alignment horizontal="right"/>
    </xf>
    <xf numFmtId="3" fontId="0" fillId="0" borderId="1" xfId="0" applyNumberFormat="1" applyBorder="1"/>
    <xf numFmtId="0" fontId="0" fillId="0" borderId="0" xfId="0" applyAlignment="1">
      <alignment horizontal="center"/>
    </xf>
    <xf numFmtId="0" fontId="0" fillId="2" borderId="0" xfId="0" applyFill="1"/>
    <xf numFmtId="3" fontId="0" fillId="2" borderId="0" xfId="0" applyNumberFormat="1" applyFill="1" applyAlignment="1">
      <alignment horizontal="right"/>
    </xf>
    <xf numFmtId="0" fontId="56" fillId="0" borderId="9" xfId="0" applyFont="1" applyBorder="1"/>
    <xf numFmtId="3" fontId="0" fillId="0" borderId="1" xfId="0" applyNumberFormat="1" applyBorder="1" applyAlignment="1">
      <alignment horizontal="right"/>
    </xf>
    <xf numFmtId="0" fontId="57" fillId="0" borderId="1" xfId="0" applyFont="1" applyBorder="1"/>
    <xf numFmtId="0" fontId="0" fillId="2" borderId="1" xfId="0" applyFill="1" applyBorder="1" applyAlignment="1">
      <alignment horizontal="left"/>
    </xf>
    <xf numFmtId="0" fontId="0" fillId="2" borderId="1" xfId="0" applyFill="1" applyBorder="1" applyAlignment="1">
      <alignment horizontal="right"/>
    </xf>
    <xf numFmtId="0" fontId="58" fillId="0" borderId="1" xfId="0" applyFont="1" applyBorder="1"/>
    <xf numFmtId="0" fontId="0" fillId="2" borderId="0" xfId="0" applyFill="1" applyAlignment="1">
      <alignment horizontal="left"/>
    </xf>
    <xf numFmtId="0" fontId="0" fillId="2" borderId="0" xfId="0" applyFill="1" applyAlignment="1">
      <alignment horizontal="right"/>
    </xf>
    <xf numFmtId="0" fontId="27" fillId="2" borderId="1" xfId="0" applyFont="1" applyFill="1" applyBorder="1" applyAlignment="1">
      <alignment horizontal="center"/>
    </xf>
    <xf numFmtId="3" fontId="0" fillId="0" borderId="0" xfId="0" applyNumberFormat="1"/>
    <xf numFmtId="0" fontId="27" fillId="2" borderId="0" xfId="0" applyFont="1" applyFill="1" applyAlignment="1">
      <alignment horizontal="center" vertical="center"/>
    </xf>
    <xf numFmtId="4" fontId="4" fillId="0" borderId="1" xfId="0" applyNumberFormat="1" applyFont="1" applyBorder="1"/>
    <xf numFmtId="0" fontId="0" fillId="0" borderId="0" xfId="0" applyAlignment="1">
      <alignment horizontal="right"/>
    </xf>
    <xf numFmtId="3" fontId="27" fillId="0" borderId="1" xfId="0" applyNumberFormat="1" applyFont="1" applyBorder="1"/>
    <xf numFmtId="0" fontId="27" fillId="0" borderId="0" xfId="0" applyFont="1" applyAlignment="1">
      <alignment horizontal="center"/>
    </xf>
    <xf numFmtId="0" fontId="6" fillId="0" borderId="10" xfId="0" applyFont="1" applyBorder="1" applyAlignment="1">
      <alignment horizontal="center"/>
    </xf>
    <xf numFmtId="0" fontId="6" fillId="0" borderId="10" xfId="0" applyFont="1" applyBorder="1"/>
    <xf numFmtId="4" fontId="6" fillId="0" borderId="10" xfId="0" applyNumberFormat="1" applyFont="1" applyBorder="1" applyAlignment="1">
      <alignment horizontal="center"/>
    </xf>
    <xf numFmtId="0" fontId="59" fillId="0" borderId="10" xfId="0" applyFont="1" applyBorder="1"/>
    <xf numFmtId="0" fontId="4" fillId="0" borderId="8" xfId="0" applyFont="1" applyBorder="1" applyAlignment="1">
      <alignment horizontal="center"/>
    </xf>
    <xf numFmtId="0" fontId="4" fillId="0" borderId="10" xfId="0" applyFont="1" applyBorder="1" applyAlignment="1">
      <alignment horizontal="center"/>
    </xf>
    <xf numFmtId="0" fontId="6" fillId="0" borderId="9" xfId="0" applyFont="1" applyBorder="1"/>
    <xf numFmtId="0" fontId="8" fillId="0" borderId="10" xfId="0" applyFont="1" applyBorder="1" applyAlignment="1">
      <alignment horizontal="center"/>
    </xf>
    <xf numFmtId="0" fontId="6" fillId="0" borderId="11" xfId="0" applyFont="1" applyBorder="1" applyAlignment="1">
      <alignment horizontal="center"/>
    </xf>
    <xf numFmtId="4" fontId="6" fillId="0" borderId="9" xfId="0" applyNumberFormat="1" applyFont="1" applyBorder="1" applyAlignment="1">
      <alignment horizontal="center"/>
    </xf>
    <xf numFmtId="0" fontId="60" fillId="0" borderId="6" xfId="0" applyFont="1" applyBorder="1"/>
    <xf numFmtId="0" fontId="4" fillId="0" borderId="6" xfId="0" applyFont="1" applyBorder="1" applyAlignment="1">
      <alignment horizontal="center"/>
    </xf>
    <xf numFmtId="4" fontId="4" fillId="0" borderId="1" xfId="0" applyNumberFormat="1" applyFont="1" applyBorder="1" applyAlignment="1">
      <alignment horizontal="center"/>
    </xf>
    <xf numFmtId="0" fontId="2" fillId="0" borderId="8" xfId="0" applyFont="1" applyBorder="1"/>
    <xf numFmtId="0" fontId="6" fillId="2" borderId="12" xfId="0" applyFont="1" applyFill="1" applyBorder="1" applyAlignment="1">
      <alignment horizontal="center"/>
    </xf>
    <xf numFmtId="0" fontId="6" fillId="2" borderId="12" xfId="0" applyFont="1" applyFill="1" applyBorder="1"/>
    <xf numFmtId="0" fontId="6" fillId="2" borderId="8" xfId="0" applyFont="1" applyFill="1" applyBorder="1" applyAlignment="1">
      <alignment horizontal="center"/>
    </xf>
    <xf numFmtId="4" fontId="6" fillId="2" borderId="8" xfId="0" applyNumberFormat="1" applyFont="1" applyFill="1" applyBorder="1" applyAlignment="1">
      <alignment horizontal="center"/>
    </xf>
    <xf numFmtId="0" fontId="61" fillId="2" borderId="8" xfId="0" applyFont="1" applyFill="1" applyBorder="1"/>
    <xf numFmtId="0" fontId="4" fillId="2" borderId="12" xfId="0" applyFont="1" applyFill="1" applyBorder="1" applyAlignment="1">
      <alignment horizontal="center"/>
    </xf>
    <xf numFmtId="0" fontId="6" fillId="2" borderId="11" xfId="0" applyFont="1" applyFill="1" applyBorder="1" applyAlignment="1">
      <alignment horizontal="center"/>
    </xf>
    <xf numFmtId="0" fontId="6" fillId="0" borderId="11" xfId="0" applyFont="1" applyBorder="1"/>
    <xf numFmtId="0" fontId="62" fillId="2" borderId="10" xfId="0" applyFont="1" applyFill="1" applyBorder="1"/>
    <xf numFmtId="0" fontId="63" fillId="2" borderId="11" xfId="0" applyFont="1" applyFill="1" applyBorder="1"/>
    <xf numFmtId="0" fontId="64" fillId="4" borderId="10" xfId="0" applyFont="1" applyFill="1" applyBorder="1"/>
    <xf numFmtId="0" fontId="65" fillId="0" borderId="10" xfId="0" applyFont="1" applyBorder="1" applyAlignment="1">
      <alignment horizontal="center"/>
    </xf>
    <xf numFmtId="0" fontId="34" fillId="0" borderId="11" xfId="0" applyFont="1" applyBorder="1"/>
    <xf numFmtId="0" fontId="66" fillId="0" borderId="10" xfId="0" applyFont="1" applyBorder="1"/>
    <xf numFmtId="0" fontId="67" fillId="0" borderId="10" xfId="0" applyFont="1" applyBorder="1"/>
    <xf numFmtId="0" fontId="6" fillId="2" borderId="7" xfId="0" applyFont="1" applyFill="1" applyBorder="1" applyAlignment="1">
      <alignment horizontal="center"/>
    </xf>
    <xf numFmtId="0" fontId="6" fillId="0" borderId="7" xfId="0" applyFont="1" applyBorder="1"/>
    <xf numFmtId="0" fontId="6" fillId="0" borderId="6" xfId="0" applyFont="1" applyBorder="1" applyAlignment="1">
      <alignment horizontal="center"/>
    </xf>
    <xf numFmtId="4" fontId="6" fillId="0" borderId="6" xfId="0" applyNumberFormat="1" applyFont="1" applyBorder="1" applyAlignment="1">
      <alignment horizontal="center"/>
    </xf>
    <xf numFmtId="0" fontId="68" fillId="0" borderId="6" xfId="0" applyFont="1" applyBorder="1"/>
    <xf numFmtId="0" fontId="4" fillId="0" borderId="6" xfId="0" applyFont="1" applyBorder="1"/>
    <xf numFmtId="4" fontId="6" fillId="0" borderId="1" xfId="0" applyNumberFormat="1" applyFont="1" applyBorder="1" applyAlignment="1">
      <alignment horizontal="center"/>
    </xf>
    <xf numFmtId="0" fontId="69" fillId="0" borderId="0" xfId="0" applyFont="1"/>
    <xf numFmtId="0" fontId="4" fillId="0" borderId="0" xfId="0" applyFont="1" applyAlignment="1">
      <alignment horizontal="center"/>
    </xf>
    <xf numFmtId="0" fontId="2" fillId="0" borderId="0" xfId="0" applyFont="1" applyAlignment="1">
      <alignment horizontal="center"/>
    </xf>
    <xf numFmtId="0" fontId="6" fillId="0" borderId="0" xfId="0" applyFont="1" applyAlignment="1">
      <alignment horizontal="center"/>
    </xf>
    <xf numFmtId="0" fontId="4" fillId="0" borderId="0" xfId="0" applyFont="1" applyAlignment="1">
      <alignment horizontal="left"/>
    </xf>
    <xf numFmtId="0" fontId="4" fillId="0" borderId="10" xfId="0" applyFont="1" applyBorder="1"/>
    <xf numFmtId="4" fontId="6" fillId="0" borderId="10" xfId="0" applyNumberFormat="1" applyFont="1" applyBorder="1" applyAlignment="1">
      <alignment horizontal="right"/>
    </xf>
    <xf numFmtId="4" fontId="4" fillId="0" borderId="0" xfId="0" applyNumberFormat="1" applyFont="1"/>
    <xf numFmtId="4" fontId="2" fillId="0" borderId="8" xfId="0" applyNumberFormat="1" applyFont="1" applyBorder="1"/>
    <xf numFmtId="0" fontId="6" fillId="0" borderId="8" xfId="0" applyFont="1" applyBorder="1" applyAlignment="1">
      <alignment horizontal="center"/>
    </xf>
    <xf numFmtId="0" fontId="6" fillId="0" borderId="8" xfId="0" applyFont="1" applyBorder="1"/>
    <xf numFmtId="0" fontId="4" fillId="0" borderId="8" xfId="0" applyFont="1" applyBorder="1"/>
    <xf numFmtId="4" fontId="6" fillId="0" borderId="8" xfId="0" applyNumberFormat="1" applyFont="1" applyBorder="1" applyAlignment="1">
      <alignment horizontal="right"/>
    </xf>
    <xf numFmtId="4" fontId="6" fillId="0" borderId="6" xfId="0" applyNumberFormat="1" applyFont="1" applyBorder="1" applyAlignment="1">
      <alignment horizontal="right"/>
    </xf>
    <xf numFmtId="0" fontId="4" fillId="0" borderId="7" xfId="0" applyFont="1" applyBorder="1"/>
    <xf numFmtId="4" fontId="4" fillId="0" borderId="13" xfId="0" applyNumberFormat="1" applyFont="1" applyBorder="1"/>
    <xf numFmtId="0" fontId="27" fillId="5" borderId="1" xfId="0" applyFont="1" applyFill="1" applyBorder="1" applyAlignment="1">
      <alignment horizontal="center" wrapText="1"/>
    </xf>
    <xf numFmtId="0" fontId="5" fillId="0" borderId="1" xfId="0" applyFont="1" applyBorder="1" applyAlignment="1">
      <alignment horizontal="center" vertical="top" wrapText="1"/>
    </xf>
    <xf numFmtId="0" fontId="5" fillId="0" borderId="1" xfId="0" applyFont="1" applyBorder="1" applyAlignment="1">
      <alignment horizontal="center"/>
    </xf>
    <xf numFmtId="0" fontId="70" fillId="0" borderId="1" xfId="0" applyFont="1" applyBorder="1" applyAlignment="1">
      <alignment wrapText="1"/>
    </xf>
    <xf numFmtId="0" fontId="71" fillId="0" borderId="1" xfId="0" applyFont="1" applyBorder="1" applyAlignment="1">
      <alignment wrapText="1"/>
    </xf>
    <xf numFmtId="0" fontId="71" fillId="0" borderId="1" xfId="0" applyFont="1" applyBorder="1" applyAlignment="1">
      <alignment horizontal="right" wrapText="1"/>
    </xf>
    <xf numFmtId="0" fontId="5" fillId="0" borderId="0" xfId="0" applyFont="1"/>
    <xf numFmtId="0" fontId="43" fillId="0" borderId="1" xfId="0" applyFont="1" applyBorder="1" applyAlignment="1">
      <alignment horizontal="center" wrapText="1"/>
    </xf>
    <xf numFmtId="0" fontId="5" fillId="0" borderId="1" xfId="0" applyFont="1" applyBorder="1" applyAlignment="1">
      <alignment horizontal="center" wrapText="1"/>
    </xf>
    <xf numFmtId="0" fontId="72" fillId="0" borderId="1" xfId="0" applyFont="1" applyBorder="1" applyAlignment="1">
      <alignment horizontal="center" wrapText="1"/>
    </xf>
    <xf numFmtId="0" fontId="73" fillId="0" borderId="1" xfId="0" applyFont="1" applyBorder="1" applyAlignment="1">
      <alignment wrapText="1"/>
    </xf>
    <xf numFmtId="0" fontId="6" fillId="0" borderId="0" xfId="0" applyFont="1" applyAlignment="1">
      <alignment horizontal="center" wrapText="1"/>
    </xf>
    <xf numFmtId="0" fontId="29" fillId="0" borderId="1" xfId="0" applyFont="1" applyBorder="1" applyAlignment="1">
      <alignment horizontal="center" vertical="top" wrapText="1"/>
    </xf>
    <xf numFmtId="0" fontId="70" fillId="0" borderId="1" xfId="0" applyFont="1" applyBorder="1" applyAlignment="1">
      <alignment horizontal="right" wrapText="1"/>
    </xf>
    <xf numFmtId="0" fontId="29" fillId="0" borderId="1" xfId="0" applyFont="1" applyBorder="1" applyAlignment="1">
      <alignment horizontal="center"/>
    </xf>
    <xf numFmtId="0" fontId="74" fillId="0" borderId="1" xfId="0" applyFont="1" applyBorder="1"/>
    <xf numFmtId="0" fontId="1" fillId="0" borderId="1" xfId="0" applyFont="1" applyBorder="1"/>
    <xf numFmtId="164" fontId="8" fillId="0" borderId="1" xfId="0" applyNumberFormat="1" applyFont="1" applyBorder="1"/>
    <xf numFmtId="0" fontId="8" fillId="0" borderId="0" xfId="0" applyFont="1"/>
    <xf numFmtId="0" fontId="8" fillId="0" borderId="1" xfId="0" applyFont="1" applyBorder="1" applyAlignment="1">
      <alignment wrapText="1"/>
    </xf>
    <xf numFmtId="164" fontId="8" fillId="0" borderId="1" xfId="0" applyNumberFormat="1" applyFont="1" applyBorder="1" applyAlignment="1">
      <alignment wrapText="1"/>
    </xf>
    <xf numFmtId="0" fontId="8" fillId="0" borderId="0" xfId="0" applyFont="1" applyAlignment="1">
      <alignment wrapText="1"/>
    </xf>
    <xf numFmtId="0" fontId="8" fillId="0" borderId="0" xfId="0" applyFont="1" applyAlignment="1">
      <alignment horizontal="right" wrapText="1"/>
    </xf>
    <xf numFmtId="0" fontId="75" fillId="0" borderId="0" xfId="0" applyFont="1" applyAlignment="1">
      <alignment horizontal="center"/>
    </xf>
    <xf numFmtId="0" fontId="8" fillId="0" borderId="0" xfId="0" applyFont="1" applyAlignment="1">
      <alignment horizontal="right"/>
    </xf>
    <xf numFmtId="164" fontId="5" fillId="0" borderId="1" xfId="0" applyNumberFormat="1" applyFont="1" applyBorder="1"/>
    <xf numFmtId="164" fontId="5" fillId="0" borderId="0" xfId="0" applyNumberFormat="1" applyFont="1"/>
    <xf numFmtId="164" fontId="8" fillId="0" borderId="0" xfId="0" applyNumberFormat="1" applyFont="1"/>
    <xf numFmtId="0" fontId="1" fillId="0" borderId="0" xfId="0" applyFont="1"/>
    <xf numFmtId="0" fontId="8" fillId="0" borderId="0" xfId="0" applyFont="1" applyAlignment="1">
      <alignment horizontal="center"/>
    </xf>
    <xf numFmtId="164" fontId="6" fillId="0" borderId="0" xfId="0" applyNumberFormat="1" applyFont="1" applyAlignment="1">
      <alignment horizontal="right"/>
    </xf>
    <xf numFmtId="164" fontId="8" fillId="0" borderId="0" xfId="0" applyNumberFormat="1" applyFont="1" applyAlignment="1">
      <alignment horizontal="right"/>
    </xf>
    <xf numFmtId="0" fontId="76" fillId="0" borderId="0" xfId="0" applyFont="1"/>
    <xf numFmtId="0" fontId="76" fillId="0" borderId="0" xfId="0" applyFont="1" applyAlignment="1">
      <alignment horizontal="center"/>
    </xf>
    <xf numFmtId="0" fontId="77" fillId="0" borderId="0" xfId="0" applyFont="1"/>
    <xf numFmtId="0" fontId="78" fillId="0" borderId="0" xfId="0" applyFont="1" applyAlignment="1">
      <alignment wrapText="1"/>
    </xf>
    <xf numFmtId="0" fontId="79" fillId="0" borderId="0" xfId="0" applyFont="1" applyAlignment="1">
      <alignment horizontal="center" wrapText="1"/>
    </xf>
    <xf numFmtId="0" fontId="80" fillId="0" borderId="0" xfId="0" applyFont="1" applyAlignment="1">
      <alignment wrapText="1"/>
    </xf>
    <xf numFmtId="0" fontId="76" fillId="0" borderId="0" xfId="0" applyFont="1" applyAlignment="1">
      <alignment wrapText="1"/>
    </xf>
    <xf numFmtId="3" fontId="76" fillId="0" borderId="0" xfId="0" applyNumberFormat="1" applyFont="1" applyAlignment="1">
      <alignment wrapText="1"/>
    </xf>
    <xf numFmtId="0" fontId="81" fillId="0" borderId="0" xfId="0" applyFont="1" applyAlignment="1">
      <alignment wrapText="1"/>
    </xf>
    <xf numFmtId="0" fontId="75" fillId="0" borderId="0" xfId="0" applyFont="1"/>
    <xf numFmtId="0" fontId="2" fillId="3" borderId="2" xfId="0" applyFont="1" applyFill="1" applyBorder="1" applyAlignment="1">
      <alignment horizontal="center" vertical="center"/>
    </xf>
    <xf numFmtId="0" fontId="7" fillId="0" borderId="3" xfId="0" applyFont="1" applyBorder="1"/>
    <xf numFmtId="0" fontId="7" fillId="0" borderId="4" xfId="0" applyFont="1" applyBorder="1"/>
    <xf numFmtId="0" fontId="1" fillId="2" borderId="2" xfId="0" applyFont="1" applyFill="1" applyBorder="1" applyAlignment="1">
      <alignment horizontal="center"/>
    </xf>
    <xf numFmtId="0" fontId="5" fillId="2" borderId="2" xfId="0" applyFont="1" applyFill="1" applyBorder="1" applyAlignment="1">
      <alignment horizontal="center"/>
    </xf>
    <xf numFmtId="0" fontId="1" fillId="2" borderId="2" xfId="0" applyFont="1" applyFill="1" applyBorder="1" applyAlignment="1">
      <alignment horizontal="right"/>
    </xf>
    <xf numFmtId="0" fontId="3" fillId="3" borderId="2" xfId="0" applyFont="1" applyFill="1" applyBorder="1" applyAlignment="1">
      <alignment horizontal="center" vertical="center"/>
    </xf>
    <xf numFmtId="0" fontId="2" fillId="3" borderId="0" xfId="0" applyFont="1" applyFill="1" applyAlignment="1">
      <alignment horizontal="center" vertical="center"/>
    </xf>
    <xf numFmtId="0" fontId="0" fillId="0" borderId="0" xfId="0"/>
    <xf numFmtId="0" fontId="27" fillId="3" borderId="2" xfId="0" applyFont="1" applyFill="1" applyBorder="1" applyAlignment="1">
      <alignment horizontal="center" vertical="center"/>
    </xf>
    <xf numFmtId="0" fontId="6" fillId="0" borderId="2" xfId="0" applyFont="1" applyBorder="1"/>
    <xf numFmtId="0" fontId="4" fillId="0" borderId="0" xfId="0" applyFont="1" applyAlignment="1">
      <alignment vertical="top" wrapText="1"/>
    </xf>
    <xf numFmtId="0" fontId="2" fillId="0" borderId="13" xfId="0" applyFont="1" applyBorder="1" applyAlignment="1">
      <alignment horizontal="center"/>
    </xf>
    <xf numFmtId="0" fontId="7" fillId="0" borderId="5" xfId="0" applyFont="1" applyBorder="1"/>
    <xf numFmtId="0" fontId="7" fillId="0" borderId="7" xfId="0" applyFont="1" applyBorder="1"/>
    <xf numFmtId="0" fontId="2" fillId="0" borderId="2" xfId="0" applyFont="1" applyBorder="1" applyAlignment="1">
      <alignment horizontal="center"/>
    </xf>
    <xf numFmtId="0" fontId="29" fillId="6" borderId="2" xfId="0" applyFont="1" applyFill="1" applyBorder="1" applyAlignment="1">
      <alignment horizontal="center"/>
    </xf>
    <xf numFmtId="0" fontId="1" fillId="0" borderId="2" xfId="0" applyFont="1" applyBorder="1" applyAlignment="1">
      <alignment horizontal="right"/>
    </xf>
    <xf numFmtId="0" fontId="71" fillId="0" borderId="8" xfId="0" applyFont="1" applyBorder="1" applyAlignment="1">
      <alignment wrapText="1"/>
    </xf>
    <xf numFmtId="0" fontId="7" fillId="0" borderId="10" xfId="0" applyFont="1" applyBorder="1"/>
    <xf numFmtId="0" fontId="7" fillId="0" borderId="6" xfId="0" applyFont="1" applyBorder="1"/>
    <xf numFmtId="0" fontId="71" fillId="0" borderId="8" xfId="0" applyFont="1" applyBorder="1" applyAlignment="1">
      <alignment horizontal="right" wrapText="1"/>
    </xf>
    <xf numFmtId="0" fontId="70" fillId="0" borderId="2" xfId="0" applyFont="1" applyBorder="1" applyAlignment="1">
      <alignment horizontal="righ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amazon.in/ZEBRONICS-Wireless-Controller-Triggers-Rechargeable/dp/B0CFTZQ8JB/ref=sr_1_6?adgrpid=64599113891&amp;dib=eyJ2IjoiMSJ9.uOcMW7puTNtRSUf9NqTdcCG-5eui_4WQ-2-dNoAXo3E7OJ7u2JU8ygDaI9n4eTSjPj1QyGzs2TgOKERh9JTjm6BWKDaJ9S3hg59cKQT7ZMPqWF0_n5sZTsDIQwoZ1ZUkye7LhNotGOlmMp5HRMqq0Ll5W2FZ0qKE4j0XYMH0e3_LCHio2LvacC0ntKmqWrdxqL8OrhPn7mdgw78y5rrHk00hr7A2I3Qc-PJIO2b-jZo.TOFTNJuVABxXWjUU3SWlNPyLs4TUiCpaHykqFUaqtcA&amp;dib_tag=se&amp;gad_source=1&amp;hvadid=590736358768&amp;hvdev=c&amp;hvexpln=0&amp;hvlocphy=9062062&amp;hvnetw=g&amp;hvocijid=17249888328509032753--&amp;hvqmt=b&amp;hvrand=17249888328509032753&amp;hvtargid=kwd-10840081&amp;hydadcr=15881_2268738&amp;keywords=game+controllers&amp;mcid=aab7693e432034acba2d25b9d2bf6a5e&amp;qid=1780598012&amp;sr=8-6" TargetMode="External"/><Relationship Id="rId2" Type="http://schemas.openxmlformats.org/officeDocument/2006/relationships/hyperlink" Target="https://www.amazon.in/Epson-EB-E12-Business-Projector-3600lm/dp/B0FBW42YHG?source=ps-sl-shoppingads-lpcontext&amp;ref_=fplfs&amp;smid=A1G3X314TR8HIW&amp;th=1" TargetMode="External"/><Relationship Id="rId1" Type="http://schemas.openxmlformats.org/officeDocument/2006/relationships/hyperlink" Target="https://claude.com/prici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obu.in/product-category/batteries/batteries-batteries/single-cell/li-ion-battery-cell/" TargetMode="External"/><Relationship Id="rId18" Type="http://schemas.openxmlformats.org/officeDocument/2006/relationships/hyperlink" Target="https://robu.in/product/lm2596s-dc-dc-35v-35v-buck-converter-power-supply/" TargetMode="External"/><Relationship Id="rId26" Type="http://schemas.openxmlformats.org/officeDocument/2006/relationships/hyperlink" Target="https://www.ti.com/product/TPS2595" TargetMode="External"/><Relationship Id="rId39" Type="http://schemas.openxmlformats.org/officeDocument/2006/relationships/hyperlink" Target="https://robu.in/product-category/electronic-components/resistors/" TargetMode="External"/><Relationship Id="rId21" Type="http://schemas.openxmlformats.org/officeDocument/2006/relationships/hyperlink" Target="https://www.ti.com/tool/TPS3890EVM-775" TargetMode="External"/><Relationship Id="rId34" Type="http://schemas.openxmlformats.org/officeDocument/2006/relationships/hyperlink" Target="https://www.ti.com/product/TPS25947/part-details/TPS259474LRPWR" TargetMode="External"/><Relationship Id="rId42" Type="http://schemas.openxmlformats.org/officeDocument/2006/relationships/hyperlink" Target="https://robu.in/product/plusivo-ceramic-capacitor-assortment-kit/" TargetMode="External"/><Relationship Id="rId47" Type="http://schemas.openxmlformats.org/officeDocument/2006/relationships/hyperlink" Target="https://www.digikey.com/en/products/detail/diodes-incorporated/SMAJ13A-13-F/1934268?msockid=29440832fdc1683b1d4c1e7cfc5c697c" TargetMode="External"/><Relationship Id="rId50" Type="http://schemas.openxmlformats.org/officeDocument/2006/relationships/hyperlink" Target="https://robu.in/product-category/electronic-components/inductor/power-inductors" TargetMode="External"/><Relationship Id="rId55" Type="http://schemas.openxmlformats.org/officeDocument/2006/relationships/hyperlink" Target="https://www.runpod.io/pricing" TargetMode="External"/><Relationship Id="rId7" Type="http://schemas.openxmlformats.org/officeDocument/2006/relationships/hyperlink" Target="https://robu.in/product/esp32-s3-devkit-esp32-s3-wroom-1-n16r8/" TargetMode="External"/><Relationship Id="rId2" Type="http://schemas.openxmlformats.org/officeDocument/2006/relationships/hyperlink" Target="https://www.amazon.in/Filament-Dimensional-Accuracy-Strength-Printers/dp/B0FCBYR3VH/ref=sr_1_9?crid=1SS2KU37X3673&amp;dib=eyJ2IjoiMSJ9.jDBhv-mSP0iyyZFrlNIouB-QcsmoOAEwswFxG2q9LSW3W7Hhh_ytxUyD0bIbMuKmS7R8wik47jY1j5EnR6ydrmjZlo4aosBi4Hah47gonoYTTDse0u7IVOxTaRCmMqdRS-zUV7Os_b2vcfnqsre47OcfcBFGXYrOCGOgcNp7TYV2YM6N2FDZrYr5t7WkRt3Vvl1dQL9vDyabXkqEFFMUbxF_r2y8RMDR0BFndBNW0jb6dgLL5VO8aFHxAjXJwWJsFLqsZmTHCLeBn6GAFUE1yUYNshQngJw0_SSNrn7jfx4.Yzz-OcIuTUwzKDOfcU9PqW30Iyhx0XQX0YnUzAE1JWQ&amp;dib_tag=se&amp;keywords=pla%2B1kg&amp;qid=1752304593&amp;sprefix=pla%2B1kg%2B%2Caps%2C259&amp;sr=8-9&amp;th=1" TargetMode="External"/><Relationship Id="rId16" Type="http://schemas.openxmlformats.org/officeDocument/2006/relationships/hyperlink" Target="https://robu.in/product/st-link-v2-programmer-for-stm8-and-stm32/" TargetMode="External"/><Relationship Id="rId29" Type="http://schemas.openxmlformats.org/officeDocument/2006/relationships/hyperlink" Target="https://www.ti.com/product/BQ24103A/part-details/BQ24103ARHLR" TargetMode="External"/><Relationship Id="rId11" Type="http://schemas.openxmlformats.org/officeDocument/2006/relationships/hyperlink" Target="https://www.dnatechindia.com/veml-6075-UVA-UVB-light-sensor-module-buy-india.html" TargetMode="External"/><Relationship Id="rId24" Type="http://schemas.openxmlformats.org/officeDocument/2006/relationships/hyperlink" Target="https://www.ti.com/tool/BQ76905EVM" TargetMode="External"/><Relationship Id="rId32" Type="http://schemas.openxmlformats.org/officeDocument/2006/relationships/hyperlink" Target="https://www.ti.com/product/INA228/part-details/INA228AIDGSR" TargetMode="External"/><Relationship Id="rId37" Type="http://schemas.openxmlformats.org/officeDocument/2006/relationships/hyperlink" Target="https://www.ti.com/product/TPS2521/part-details/TPS25210ARPWR" TargetMode="External"/><Relationship Id="rId40" Type="http://schemas.openxmlformats.org/officeDocument/2006/relationships/hyperlink" Target="https://robu.in/product-category/resistors/" TargetMode="External"/><Relationship Id="rId45" Type="http://schemas.openxmlformats.org/officeDocument/2006/relationships/hyperlink" Target="https://robu.in/product/4pin-ntc-thermistor-temperature-sensor-module/" TargetMode="External"/><Relationship Id="rId53" Type="http://schemas.openxmlformats.org/officeDocument/2006/relationships/hyperlink" Target="https://robu.in/product/5mm-led-diode-light-assorted-kit-diy-leds-set-red-white-yellow-green-blue-including-red-20pcs-white-20pcs-yellow-20pcs-green-20pcs-blue-20pcs/" TargetMode="External"/><Relationship Id="rId5" Type="http://schemas.openxmlformats.org/officeDocument/2006/relationships/hyperlink" Target="https://robu.in/product/orange-600mah-3s-25c-11-1-v-lithium-polymer-battery-pack-li-po/" TargetMode="External"/><Relationship Id="rId10" Type="http://schemas.openxmlformats.org/officeDocument/2006/relationships/hyperlink" Target="https://hubtronics.in/e32-433t20d" TargetMode="External"/><Relationship Id="rId19" Type="http://schemas.openxmlformats.org/officeDocument/2006/relationships/hyperlink" Target="https://www.ti.com/tool/TPS2595EVM" TargetMode="External"/><Relationship Id="rId31" Type="http://schemas.openxmlformats.org/officeDocument/2006/relationships/hyperlink" Target="https://www.analog.com/en/products/ltc4412.html" TargetMode="External"/><Relationship Id="rId44" Type="http://schemas.openxmlformats.org/officeDocument/2006/relationships/hyperlink" Target="https://robu.in/product-category/mechanical-parts-and-tools/measuring-instruments/shunt-resistors" TargetMode="External"/><Relationship Id="rId52" Type="http://schemas.openxmlformats.org/officeDocument/2006/relationships/hyperlink" Target="https://robu.in/product/2n7002-hxy-mosfet-60v-300ma-350mw-2%CF%8910v0-1a-1-9v-1-n-channel-sot-23-mosfets-rohs/" TargetMode="External"/><Relationship Id="rId4" Type="http://schemas.openxmlformats.org/officeDocument/2006/relationships/hyperlink" Target="https://robu.in/product/magnetic-encoder-sensor-module-as5600/" TargetMode="External"/><Relationship Id="rId9" Type="http://schemas.openxmlformats.org/officeDocument/2006/relationships/hyperlink" Target="https://robu.in/product/cjmcu-tca9548a-i2c-8-channel-multiple-extensions-development-board/" TargetMode="External"/><Relationship Id="rId14" Type="http://schemas.openxmlformats.org/officeDocument/2006/relationships/hyperlink" Target="https://robu.in/product/2s-20a-18650-lithium-battery-protection-board/" TargetMode="External"/><Relationship Id="rId22" Type="http://schemas.openxmlformats.org/officeDocument/2006/relationships/hyperlink" Target="https://www.ti.com/tool/TPL5010EVM" TargetMode="External"/><Relationship Id="rId27" Type="http://schemas.openxmlformats.org/officeDocument/2006/relationships/hyperlink" Target="https://www.ti.com/product/MSP430FR5969" TargetMode="External"/><Relationship Id="rId30" Type="http://schemas.openxmlformats.org/officeDocument/2006/relationships/hyperlink" Target="https://www.ti.com/product/BQ76905/part-details/BQ76905RGRR" TargetMode="External"/><Relationship Id="rId35" Type="http://schemas.openxmlformats.org/officeDocument/2006/relationships/hyperlink" Target="https://www.ti.com/product/TPS3890/part-details/TPS389001DSER" TargetMode="External"/><Relationship Id="rId43" Type="http://schemas.openxmlformats.org/officeDocument/2006/relationships/hyperlink" Target="https://robu.in/product-category/electronic-components/capacitor/ceramic-capacitors/mlcc/" TargetMode="External"/><Relationship Id="rId48" Type="http://schemas.openxmlformats.org/officeDocument/2006/relationships/hyperlink" Target="https://robu.in/product-category/resettable-fuses/?filters=%7B%22current-rating-a%22%3A%5B38860%2C38869%2C38847%2C38891%2C38929%5D%7D&amp;page=1" TargetMode="External"/><Relationship Id="rId56" Type="http://schemas.openxmlformats.org/officeDocument/2006/relationships/printerSettings" Target="../printerSettings/printerSettings1.bin"/><Relationship Id="rId8" Type="http://schemas.openxmlformats.org/officeDocument/2006/relationships/hyperlink" Target="https://robu.in/product/simplefocmini-brushless-dc-motor-driver-board/" TargetMode="External"/><Relationship Id="rId51" Type="http://schemas.openxmlformats.org/officeDocument/2006/relationships/hyperlink" Target="https://robu.in/product-category/power-inductors/?filters=%7B%22inductanceh%22%3A%5B39649%5D%7D&amp;page=1" TargetMode="External"/><Relationship Id="rId3" Type="http://schemas.openxmlformats.org/officeDocument/2006/relationships/hyperlink" Target="https://robu.in/product/2204-260kv-brushless-gimbal-motor/" TargetMode="External"/><Relationship Id="rId12" Type="http://schemas.openxmlformats.org/officeDocument/2006/relationships/hyperlink" Target="https://robu.in/product/apm2-5-ublox-neo-m8n-gps-module-gygpsv1-8m-3-5v-gygpsv5-neo-pixhawk-apm-ceramic-active-antenna/" TargetMode="External"/><Relationship Id="rId17" Type="http://schemas.openxmlformats.org/officeDocument/2006/relationships/hyperlink" Target="https://robu.in/product/atmega328p-5v-nano-v3-0-development-board-16mhz-ch340-type-c/" TargetMode="External"/><Relationship Id="rId25" Type="http://schemas.openxmlformats.org/officeDocument/2006/relationships/hyperlink" Target="https://www.ti.com/tool/TPS63070EVM-693" TargetMode="External"/><Relationship Id="rId33" Type="http://schemas.openxmlformats.org/officeDocument/2006/relationships/hyperlink" Target="https://www.ti.com/product/TPS63070/part-details/TPS63070RNMR" TargetMode="External"/><Relationship Id="rId38" Type="http://schemas.openxmlformats.org/officeDocument/2006/relationships/hyperlink" Target="https://robu.in/product/plusivo-resistor-assortment-kit-10-%CF%89-to-1-m%CF%89-600pcs/" TargetMode="External"/><Relationship Id="rId46" Type="http://schemas.openxmlformats.org/officeDocument/2006/relationships/hyperlink" Target="https://www.digikey.in/en/products/detail/murata-electronics/BLM31KN121SN1L/7564089" TargetMode="External"/><Relationship Id="rId20" Type="http://schemas.openxmlformats.org/officeDocument/2006/relationships/hyperlink" Target="https://www.ti.com/tool/MSP-EXP430FR5969" TargetMode="External"/><Relationship Id="rId41" Type="http://schemas.openxmlformats.org/officeDocument/2006/relationships/hyperlink" Target="https://robu.in/product-category/mlcc/?filters=%7B%22capacitance%22%3A%5B40007%2C40008%2C40022%2C40009%2C40096%5D%7D&amp;page=1" TargetMode="External"/><Relationship Id="rId54" Type="http://schemas.openxmlformats.org/officeDocument/2006/relationships/hyperlink" Target="https://robu.in/product-category/mechanical-parts-and-tools/" TargetMode="External"/><Relationship Id="rId1" Type="http://schemas.openxmlformats.org/officeDocument/2006/relationships/hyperlink" Target="https://www.amazon.in/Elegoo-Printing-Filament-Compatible-Printers/dp/B0FFB98MZZ/ref=sr_1_22_sspa?crid=2FFWUTAX2WLR3&amp;dib=eyJ2IjoiMSJ9.jDBhv-mSP0iyyZFrlNIouL6eFrTvLSIPHvOTGWVNFA4Hv9_fShoeSesGLT0bJ6cILv1EckSSZrRoT_zAgYXBgZ-G1bJXCPZAlOKFbLX5nh39uY8tKM8JDnpoFKBe0wt6CpEbvLf1BT0cI6ATWAt-6xH1_W9wUTr4RkK6Pwev2ylgxWJa0PcjkiXaZtQn_HuJqkmTeDDGAmsKa0bAY0cDC0aXaR03j2M8GCk6bl5lEKBkLSiiClN4TM5-GshT5zl6FWFqgx8PCnXfYO06rNR3NwBDYRIOts1kz8uH5qRvndo.2tfiuXKSu8LDNoEA9uXVLhfFtnEAu_eK9ydzqKh7GVE&amp;dib_tag=se&amp;keywords=pla%2B1kg&amp;qid=1752304274&amp;sprefix=pla%2B1k%2Caps%2C471&amp;sr=8-22-spons&amp;sp_csd=d2lkZ2V0TmFtZT1zcF9tdGY&amp;th=1" TargetMode="External"/><Relationship Id="rId6" Type="http://schemas.openxmlformats.org/officeDocument/2006/relationships/hyperlink" Target="https://robu.in/product/lm2596s-5-0-xblw-step-down-type-fixed-5v-to-263-5l-dc-dc-converters-rohs/" TargetMode="External"/><Relationship Id="rId15" Type="http://schemas.openxmlformats.org/officeDocument/2006/relationships/hyperlink" Target="https://robu.in/product/weact-studio-stm32f103c8t6-bluepill-plus-arm-stm32-minimum-system-development-board-module/" TargetMode="External"/><Relationship Id="rId23" Type="http://schemas.openxmlformats.org/officeDocument/2006/relationships/hyperlink" Target="https://www.ti.com/tool/BQ24103AEVM" TargetMode="External"/><Relationship Id="rId28" Type="http://schemas.openxmlformats.org/officeDocument/2006/relationships/hyperlink" Target="https://www.ti.com/product/TPS7A24" TargetMode="External"/><Relationship Id="rId36" Type="http://schemas.openxmlformats.org/officeDocument/2006/relationships/hyperlink" Target="https://www.ti.com/product/TPL5010" TargetMode="External"/><Relationship Id="rId49" Type="http://schemas.openxmlformats.org/officeDocument/2006/relationships/hyperlink" Target="https://robu.in/product-category/electronic-components/inductor/power-inductor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penai.com/api/pricing/"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dreampolymers.com/product/nylon-pa6-3d-printing-filament/" TargetMode="External"/><Relationship Id="rId117" Type="http://schemas.openxmlformats.org/officeDocument/2006/relationships/hyperlink" Target="https://robu.in/product/2-13s-5v-5a-bec/" TargetMode="External"/><Relationship Id="rId21" Type="http://schemas.openxmlformats.org/officeDocument/2006/relationships/hyperlink" Target="https://robokits.co.in/robot-parts/nut-bolts-standoffs/nuts/m2-x-5-mm-brass-heat-threaded-round-insert-nut-moq-25-pcs.?srsltid=AfmBOoqA4qQnsXZbKNpydHV6av-MuQ9zM8jURiazsRfkd1xXonh3byr3_Bc" TargetMode="External"/><Relationship Id="rId42" Type="http://schemas.openxmlformats.org/officeDocument/2006/relationships/hyperlink" Target="https://robocraze.com/products/nrf24l01-pa-lna?_pos=2&amp;_sid=db4fbe1e0&amp;_ss=r" TargetMode="External"/><Relationship Id="rId47" Type="http://schemas.openxmlformats.org/officeDocument/2006/relationships/hyperlink" Target="https://robocraze.com/products/lm2596-dc-dc-buck-module?_pos=1&amp;_sid=62ae597e3&amp;_ss=r" TargetMode="External"/><Relationship Id="rId63" Type="http://schemas.openxmlformats.org/officeDocument/2006/relationships/hyperlink" Target="https://robocraze.com/products/multitec-mt-150b-stripper?_pos=1&amp;_sid=e02407aa9&amp;_ss=r" TargetMode="External"/><Relationship Id="rId68" Type="http://schemas.openxmlformats.org/officeDocument/2006/relationships/hyperlink" Target="https://www.amazon.in/Anezus-Self-Healing-Cuttting-Size/dp/B088M48Z3G/ref=sr_1_5?crid=1DOSC29K2EAFL&amp;dib=eyJ2IjoiMSJ9.0_886k5ZU2PChexsfH0_I2igB_iC9bIfTuMQljpj-LsgW_H8al1OEcbgpVUM_qeM1o9TEffcy7GXGuSkhniL-fFC9gGKZTkdRUkjZ9H3xEGa61Xa2T1aZsOantEQMyPN9HgJDhWDsKgvzb-IQRm3dcax69i3-bJSvzDM8bBjRdu17MYi0Z8nrZHQFwz4SkPtonqV1x3o8Qi3sCAlnRaFiNehU_fhSZAi-m1ivvgOFEGOEInLilygFABu0aFOUu66LCiBcKlilw3mdtuKzcREVu5_Abfyd6dKXx9O0iTANxw.POF3iLqfkRyJZrSVULp_PtPetx8asqCA1gFe2yeCkV4&amp;dib_tag=se&amp;keywords=self+healing+mat&amp;qid=1780045554&amp;sprefix=self+healing+ma%2Caps%2C247&amp;sr=8-5" TargetMode="External"/><Relationship Id="rId84" Type="http://schemas.openxmlformats.org/officeDocument/2006/relationships/hyperlink" Target="https://robocraze.com/products/3m-usb-to-micro-usb-cable-black?_pos=5&amp;_sid=92aebb0a8&amp;_ss=r" TargetMode="External"/><Relationship Id="rId89" Type="http://schemas.openxmlformats.org/officeDocument/2006/relationships/hyperlink" Target="https://robocraze.com/products/sd-card-module" TargetMode="External"/><Relationship Id="rId112" Type="http://schemas.openxmlformats.org/officeDocument/2006/relationships/hyperlink" Target="https://robu.in/product/daly-li-ion-7s-25-9v-40a-battery-management-system/" TargetMode="External"/><Relationship Id="rId16" Type="http://schemas.openxmlformats.org/officeDocument/2006/relationships/hyperlink" Target="https://robu.in/product/100pcs-m3-12-9-grade-alloy-steel-hex-bolt-socket-head-cap-screws-kit/" TargetMode="External"/><Relationship Id="rId107" Type="http://schemas.openxmlformats.org/officeDocument/2006/relationships/hyperlink" Target="https://robu.in/product/2212-920kv-brushless-motor-dji-cw/" TargetMode="External"/><Relationship Id="rId11" Type="http://schemas.openxmlformats.org/officeDocument/2006/relationships/hyperlink" Target="https://robocraze.com/products/solder-wire-45gm?_pos=2&amp;_sid=8da0292fc&amp;_ss=r" TargetMode="External"/><Relationship Id="rId32" Type="http://schemas.openxmlformats.org/officeDocument/2006/relationships/hyperlink" Target="https://zbotic.in/product/3-x-7-cm-universal-pcb-prototype-board-double-side-2pcs/?gad_source=1&amp;gad_campaignid=20903026778&amp;gbraid=0AAAAACTNRdUtswc9mAY7tcvWAom0oxSH9&amp;gclid=Cj0KCQjwoMXQBhDcARIsAH-eEtviVKON7IgpHYIxNRvOirR5Pd7PRUMGl_xHCQTfuLM5d6Om5yikYyAaAu71EALw_wcB" TargetMode="External"/><Relationship Id="rId37" Type="http://schemas.openxmlformats.org/officeDocument/2006/relationships/hyperlink" Target="https://robocraze.com/products/1-3in-oled-display?variant=40192586842265&amp;country=IN&amp;currency=INR&amp;utm_medium=product_sync&amp;utm_source=google&amp;utm_content=sag_organic&amp;utm_campaign=sag_organic&amp;campaignid=22114711878&amp;adgroupid=&amp;keyword=&amp;device=c&amp;gad_source=1&amp;gad_campaignid=22124708836&amp;gbraid=0AAAAADgHQvYXvvMU21PPgt-ThXXaD3bR5&amp;gclid=Cj0KCQjww8rQBhDjARIsAE43KPNqJJXf5Tvo7RXE84ddfCfUDxYHMdXIoKaUI9ETtCMQtZ_KINymyagaAuExEALw_wcB" TargetMode="External"/><Relationship Id="rId53" Type="http://schemas.openxmlformats.org/officeDocument/2006/relationships/hyperlink" Target="https://robocraze.com/products/heat-flame-sensor?_pos=4&amp;_sid=beb89dbfe&amp;_ss=r" TargetMode="External"/><Relationship Id="rId58" Type="http://schemas.openxmlformats.org/officeDocument/2006/relationships/hyperlink" Target="https://robocraze.com/products/noel-3-in-1-soldering-iron-kit-25w-gold?_pos=20&amp;_sid=86f1d5668&amp;_ss=r" TargetMode="External"/><Relationship Id="rId74" Type="http://schemas.openxmlformats.org/officeDocument/2006/relationships/hyperlink" Target="https://thinkrobotics.com/products/kingkong-65mm-blade-propeller-online?variant=33152613285974&amp;country=IN&amp;currency=INR&amp;utm_medium=product_sync&amp;utm_source=google&amp;utm_content=sag_organic&amp;utm_campaign=sag_organic&amp;utm_source=googleads&amp;utm_medium=cpc&amp;utm_source=SR_google&amp;utm_medium=Shopping&amp;utm_campaign=SR467_ShoppingAds_Category-23015774368" TargetMode="External"/><Relationship Id="rId79" Type="http://schemas.openxmlformats.org/officeDocument/2006/relationships/hyperlink" Target="https://robocraze.com/products/2wd-two-wheel-drive-diy-kit-a-smart-robot-car-with-chassis?_pos=1&amp;_sid=c86b12479&amp;_ss=r" TargetMode="External"/><Relationship Id="rId102" Type="http://schemas.openxmlformats.org/officeDocument/2006/relationships/hyperlink" Target="https://robu.in/product/expresslrs-rx24t-2-4g-receiver/" TargetMode="External"/><Relationship Id="rId123" Type="http://schemas.openxmlformats.org/officeDocument/2006/relationships/hyperlink" Target="https://docs.google.com/document/d/1_49dDaVjUT1M-VeAw_2xR9hcULz2zDnTyT6x17JlcdU/edit?usp=drive_link" TargetMode="External"/><Relationship Id="rId5" Type="http://schemas.openxmlformats.org/officeDocument/2006/relationships/hyperlink" Target="https://robocraze.com/products/40x1-pin-2-54mm-pitch-male-berg-strip?variant=43046522650848&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MqnEn_2D3zqssYMTQw-T7Al6P5INLMjzaPMuHFb-SyH3fFeuXE8RcaAtizEALw_wcB" TargetMode="External"/><Relationship Id="rId90" Type="http://schemas.openxmlformats.org/officeDocument/2006/relationships/hyperlink" Target="https://robocraze.com/products/sg90-micro-servo-motor?_pos=1&amp;_sid=30263cc70&amp;_ss=r" TargetMode="External"/><Relationship Id="rId95" Type="http://schemas.openxmlformats.org/officeDocument/2006/relationships/hyperlink" Target="https://robocraze.com/products/vl53l0x-laser-ranging-sensor" TargetMode="External"/><Relationship Id="rId22" Type="http://schemas.openxmlformats.org/officeDocument/2006/relationships/hyperlink" Target="https://robocraze.com/products/esun-pla-3d-printing-filament-1-75mm-black-color?_pos=2&amp;_sid=47b4c6995&amp;_ss=r" TargetMode="External"/><Relationship Id="rId27" Type="http://schemas.openxmlformats.org/officeDocument/2006/relationships/hyperlink" Target="https://dreampolymers.com/product/carbon-fiber-3d-printing-filament/?material=pla-cf&amp;filament-diameter=1-75-mm" TargetMode="External"/><Relationship Id="rId43" Type="http://schemas.openxmlformats.org/officeDocument/2006/relationships/hyperlink" Target="https://robocraze.com/products/nrf24l01-adapter-board?_pos=1&amp;_sid=db4fbe1e0&amp;_ss=r" TargetMode="External"/><Relationship Id="rId48" Type="http://schemas.openxmlformats.org/officeDocument/2006/relationships/hyperlink" Target="https://robu.in/product/wanptek-kps3020d-30v-20a-high-precision-adjustable-digital-dc-power-supply/" TargetMode="External"/><Relationship Id="rId64" Type="http://schemas.openxmlformats.org/officeDocument/2006/relationships/hyperlink" Target="https://robu.in/product/yellow-32-in-1-multi-purpose-precision-screwdriver-set-%EF%BC%88no-6011-a%EF%BC%89/" TargetMode="External"/><Relationship Id="rId69" Type="http://schemas.openxmlformats.org/officeDocument/2006/relationships/hyperlink" Target="https://www.amazon.in/ABOUT-SPACE-Organiser-Accessories-Self-Adhesive/dp/B0FGJVKP65/ref=sr_1_2_sspa?crid=3S5FVGPS9VSIO&amp;dib=eyJ2IjoiMSJ9.ACkFudbsamILhkzBqj88UK882Kx1NDLCPMCQiEPxhUXoQCOSN6rT4zibfPQyrjLccKiLuX4oNZM2lB7rUX2Xp1zyrICt4Pf0j5PH_pI1SBti2xRKQvRHRpRZ28B8IS3F9JeVjPH67nB_gmd1jgfldUp6qPy3BI238wQ2jtCxt8pg4z13MdYVkjbzXeqMvk2ZaQ6tAOu8efIwZC-6NCX68Awp4cR1AJbSQq78SAQSBihxk_qxAFf3YwP_Ka5EOnNeJiMfjXbKS6hWSxtIrw32WvirgjA1NTMFCO-pm9tmjBA.thK1isZlzIJsDv07_wWYJAFotJXdt8w2RIvLLqPKgVY&amp;dib_tag=se&amp;keywords=wall+peg+board&amp;qid=1780045725&amp;sprefix=wall+peg+%2Caps%2C289&amp;sr=8-2-spons&amp;aref=Ler6kLWjTH&amp;sp_csd=d2lkZ2V0TmFtZT1zcF9hdGY&amp;psc=1" TargetMode="External"/><Relationship Id="rId113" Type="http://schemas.openxmlformats.org/officeDocument/2006/relationships/hyperlink" Target="https://robu.in/product/orange-planetary-gear-dc-motor-12v-96rpm-121-7-n-cm-pg36m555-50-9k/" TargetMode="External"/><Relationship Id="rId118" Type="http://schemas.openxmlformats.org/officeDocument/2006/relationships/hyperlink" Target="https://robocraze.com/products/ywbl-wh-mushroom-emergency-stop-push-button-switch-22mm?variant=43210338336992&amp;country=IN&amp;currency=INR&amp;utm_medium=product_sync&amp;utm_source=google&amp;utm_content=sag_organic&amp;utm_campaign=sag_organic&amp;campaignid=22271813913&amp;adgroupid=&amp;keyword=&amp;device=c&amp;gad_source=1&amp;gad_campaignid=22271815110&amp;gbraid=0AAAAADgHQvby4uNn_fefw3uUJdsjJXHcM&amp;gclid=Cj0KCQjwlerQBhDMARIsAB16H-UvXiPeFifCRI5bdFLAHCUMCNs3Ngy-ZL69cSqHh5jy0JuLoFhPIOEaApDiEALw_wcB" TargetMode="External"/><Relationship Id="rId80" Type="http://schemas.openxmlformats.org/officeDocument/2006/relationships/hyperlink" Target="https://robocraze.com/products/nodemcu-32-wifi-bluetooth-esp32-development-board30-pin?_pos=4&amp;_sid=816c4d473&amp;_ss=r" TargetMode="External"/><Relationship Id="rId85" Type="http://schemas.openxmlformats.org/officeDocument/2006/relationships/hyperlink" Target="https://robocraze.com/products/mpu-6050-triple-axis-accelerometer-gyroscope-module?_pos=1&amp;_sid=9d5b6f018&amp;_ss=r" TargetMode="External"/><Relationship Id="rId12" Type="http://schemas.openxmlformats.org/officeDocument/2006/relationships/hyperlink" Target="https://robocraze.com/products/7cmx5-5cm-soldering-cleaning-sponge-for-soldering-irons-work-stands?_pos=2&amp;_sid=2db45dc18&amp;_ss=r" TargetMode="External"/><Relationship Id="rId17" Type="http://schemas.openxmlformats.org/officeDocument/2006/relationships/hyperlink" Target="https://robu.in/product/easymech-set-of-m4-x-30-mm-socket-head-cap-allen-bolt-and-nut-12-pcs/" TargetMode="External"/><Relationship Id="rId33" Type="http://schemas.openxmlformats.org/officeDocument/2006/relationships/hyperlink" Target="https://robocraze.com/products/glue-gun-stick?_pos=1&amp;_sid=2373ab1af&amp;_ss=r" TargetMode="External"/><Relationship Id="rId38" Type="http://schemas.openxmlformats.org/officeDocument/2006/relationships/hyperlink" Target="https://robocraze.com/products/16x2-lcd-display-blue?variant=40192578322585&amp;country=IN&amp;currency=INR&amp;utm_medium=product_sync&amp;utm_source=google&amp;utm_content=sag_organic&amp;utm_campaign=sag_organic&amp;srsltid=AfmBOooJA8-yfBcIISjyNALKfpbS46-0knA_OYstnpDiq--IqdC4NZVRbqc" TargetMode="External"/><Relationship Id="rId59" Type="http://schemas.openxmlformats.org/officeDocument/2006/relationships/hyperlink" Target="https://robocraze.com/products/noel-soldering-iron-stand-super-deluxe-for-30w-75w-soldering-iron?_pos=3&amp;_sid=2db45dc18&amp;_ss=r" TargetMode="External"/><Relationship Id="rId103" Type="http://schemas.openxmlformats.org/officeDocument/2006/relationships/hyperlink" Target="https://quartzcomponents.com/products/11-1v-5400mah-3s-60c-lithium-polymer-rechargeable-battery?variant=45697598095594&amp;country=IN&amp;currency=INR&amp;utm_medium=product_sync&amp;utm_source=google&amp;utm_content=sag_organic&amp;utm_campaign=sag_organic&amp;gad_source=1&amp;gad_campaignid=22902303485&amp;gbraid=0AAAAACPPFdPV4xnpezE2QyfBNSnUXHl2s&amp;gclid=CjwKCAjw8uTQBhAdEiwAVvtJyspmEPCBBf6x79Nq-TGXBLR-jIX4MeT32fnZz_nOdtqNMqfAeD6VpxoCn5kQAvD_BwE" TargetMode="External"/><Relationship Id="rId108" Type="http://schemas.openxmlformats.org/officeDocument/2006/relationships/hyperlink" Target="https://robu.in/product/2212-920kv-brushless-motor-dji-red/" TargetMode="External"/><Relationship Id="rId124" Type="http://schemas.openxmlformats.org/officeDocument/2006/relationships/hyperlink" Target="https://drive.google.com/file/d/1Rmf7lHXkS7KXzmjrkrOB7pyaWgexCQhh/view?usp=drive_link" TargetMode="External"/><Relationship Id="rId54" Type="http://schemas.openxmlformats.org/officeDocument/2006/relationships/hyperlink" Target="https://robocraze.com/products/bmp280-temperature-sensor-module?_pos=1&amp;_sid=7251879ad&amp;_ss=r" TargetMode="External"/><Relationship Id="rId70" Type="http://schemas.openxmlformats.org/officeDocument/2006/relationships/hyperlink" Target="https://robocraze.com/products/witty-fox-480mah-rechargeable-3-7v-lithium-polymer-battery?_pos=3&amp;_sid=0ab69436d&amp;_ss=r" TargetMode="External"/><Relationship Id="rId75" Type="http://schemas.openxmlformats.org/officeDocument/2006/relationships/hyperlink" Target="https://robu.in/product/8520-magnetic-micro-coreless-motor-for-micro-quadcopters-2xcw-2xccw/" TargetMode="External"/><Relationship Id="rId91" Type="http://schemas.openxmlformats.org/officeDocument/2006/relationships/hyperlink" Target="https://robocraze.com/products/smartelex-3-7v-basic-micro-usb-lipo-charger-500ma?variant=48493050200288&amp;country=IN&amp;currency=INR&amp;utm_medium=product_sync&amp;utm_source=google&amp;utm_content=sag_organic&amp;utm_campaign=sag_organic&amp;srsltid=AfmBOoqJ3S4xVT7AeB80WxK5fcYx2jHmvuS-0AHErARedUWb52hzIF2twzY" TargetMode="External"/><Relationship Id="rId96" Type="http://schemas.openxmlformats.org/officeDocument/2006/relationships/hyperlink" Target="https://robocraze.com/products/hc-sr-04-ultrasonic-sensor?_pos=1&amp;_sid=68e11f94c&amp;_ss=r" TargetMode="External"/><Relationship Id="rId1" Type="http://schemas.openxmlformats.org/officeDocument/2006/relationships/hyperlink" Target="https://robocraze.com/products/resistor-box?variant=40192376864921&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MHohYNrfgo7AZu9TpVdjcpla3l6jXuW5NCwT03Qqkn2mgA0B-enTsaAnhIEALw_wcB" TargetMode="External"/><Relationship Id="rId6" Type="http://schemas.openxmlformats.org/officeDocument/2006/relationships/hyperlink" Target="https://robocraze.com/products/40x1-female-berg-strip?variant=40192367689881&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PNEe5yW01-j-USDDpXPYcC0gKL6qwyEpQgxOOyJDuy8gW3Oy41U3MaArZ-EALw_wcB" TargetMode="External"/><Relationship Id="rId23" Type="http://schemas.openxmlformats.org/officeDocument/2006/relationships/hyperlink" Target="https://www.thingbits.in/products/premium-petg-filament-for-3d-printers/1969" TargetMode="External"/><Relationship Id="rId28" Type="http://schemas.openxmlformats.org/officeDocument/2006/relationships/hyperlink" Target="https://robocraze.com/products/esun-pla-basic-1-75mm-1kg-3d-printing-filament-black-color?_pos=3&amp;_sid=6ace96e91&amp;_ss=r" TargetMode="External"/><Relationship Id="rId49" Type="http://schemas.openxmlformats.org/officeDocument/2006/relationships/hyperlink" Target="https://robocraze.com/products/hcsr501-pir-motion-sensor-passive-infrared-sensor?_pos=1&amp;_sid=a9f23b57f&amp;_ss=r" TargetMode="External"/><Relationship Id="rId114" Type="http://schemas.openxmlformats.org/officeDocument/2006/relationships/hyperlink" Target="https://robocraze.com/products/smartelex-30d-dual-channel-motor-driver-smart-pwm-rc-motor-controller-powered-by-raspberry-pi?variant=48103025869024&amp;country=IN&amp;currency=INR&amp;utm_medium=product_sync&amp;utm_source=google&amp;utm_content=sag_organic&amp;utm_campaign=sag_organic&amp;campaignid=23357763995&amp;adgroupid=&amp;keyword=&amp;device=c&amp;gad_source=1&amp;gad_campaignid=23361789967&amp;gbraid=0AAAAADgHQvbp8CGw-R0T1Tc5t09qi16xw&amp;gclid=Cj0KCQjwlerQBhDMARIsAB16H-VcBuI36rIBATtoMcWtITNKUBuXQby6yfZCK56E6Zfviub4vcv1GPcaAptDEALw_wcB" TargetMode="External"/><Relationship Id="rId119" Type="http://schemas.openxmlformats.org/officeDocument/2006/relationships/hyperlink" Target="https://robocraze.com/products/bno086-vr-imu-9-dof-orientation-qwiic-fusion-breakout-7semi?_pos=1&amp;_psq=7semi+BNO086+9-DOF+Orientation+VR+IMU+Fusion+Breakout+Qwii&amp;_ss=e&amp;_v=1.0" TargetMode="External"/><Relationship Id="rId44" Type="http://schemas.openxmlformats.org/officeDocument/2006/relationships/hyperlink" Target="https://robocraze.com/products/3-24v-active-piezo-electronic-buzzer-with-continuous-sound-alarm-tone?_pos=5&amp;_sid=488d0c747&amp;_ss=r" TargetMode="External"/><Relationship Id="rId60" Type="http://schemas.openxmlformats.org/officeDocument/2006/relationships/hyperlink" Target="https://robocraze.com/products/helping-hand-magnifier-led-glass-with-soldering-stand?_pos=5&amp;_sid=d20dd13f7&amp;_ss=r" TargetMode="External"/><Relationship Id="rId65" Type="http://schemas.openxmlformats.org/officeDocument/2006/relationships/hyperlink" Target="http://amazon.in/Bosch-Electric-Variable-Insulation-Multicolor/dp/B0CHBV2RVJ/ref=asc_df_B0CHBV2RVJ?mcid=d123b2535eb23c37b7f8a3624f69b328&amp;tag=googleshopdes-21&amp;linkCode=df0&amp;hvadid=709856082459&amp;hvpos=&amp;hvnetw=g&amp;hvrand=3958339455043528297&amp;hvpone=&amp;hvptwo=&amp;hvqmt=&amp;hvdev=c&amp;hvdvcmdl=&amp;hvlocint=&amp;hvlocphy=9061679&amp;hvtargid=pla-2265392096040&amp;psc=1&amp;hvocijid=3958339455043528297-B0CHBV2RVJ-&amp;hvexpln=0&amp;gad_source=1" TargetMode="External"/><Relationship Id="rId81" Type="http://schemas.openxmlformats.org/officeDocument/2006/relationships/hyperlink" Target="https://robocraze.com/products/l298-motor-driver-module?_pos=1&amp;_sid=0ef0347c5&amp;_ss=r" TargetMode="External"/><Relationship Id="rId86" Type="http://schemas.openxmlformats.org/officeDocument/2006/relationships/hyperlink" Target="https://robocraze.com/products/6v-n20-600-rpm-miniature-gear-motor?_pos=2&amp;_sid=4fe854f1f&amp;_ss=r" TargetMode="External"/><Relationship Id="rId13" Type="http://schemas.openxmlformats.org/officeDocument/2006/relationships/hyperlink" Target="https://robocraze.com/products/noel-soldering-flux-paste-10gm-pack-yellow" TargetMode="External"/><Relationship Id="rId18" Type="http://schemas.openxmlformats.org/officeDocument/2006/relationships/hyperlink" Target="https://robu.in/product/easymech-ss-304-csk-countersunk-philips-head-m2-x-10-mm-bolt-25-pcs/" TargetMode="External"/><Relationship Id="rId39" Type="http://schemas.openxmlformats.org/officeDocument/2006/relationships/hyperlink" Target="https://robocraze.com/products/16x2-lcd-i2c-interface-adapter?variant=40192845381785&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MTG4cnaalmFgOjwZzl_PhkSwKDpBcX662DPcvZu4rlWZ4yqiZMlOIaAq_mEALw_wcB" TargetMode="External"/><Relationship Id="rId109" Type="http://schemas.openxmlformats.org/officeDocument/2006/relationships/hyperlink" Target="https://robu.in/product/35a-2-5s-blheli_s-4-in-1-esc/" TargetMode="External"/><Relationship Id="rId34" Type="http://schemas.openxmlformats.org/officeDocument/2006/relationships/hyperlink" Target="https://robocraze.com/products/glue-gun-stick?_pos=1&amp;_sid=2373ab1af&amp;_ss=r" TargetMode="External"/><Relationship Id="rId50" Type="http://schemas.openxmlformats.org/officeDocument/2006/relationships/hyperlink" Target="https://robocraze.com/products/sound-sensor-module?_pos=3&amp;_sid=c1ab40d27&amp;_ss=r" TargetMode="External"/><Relationship Id="rId55" Type="http://schemas.openxmlformats.org/officeDocument/2006/relationships/hyperlink" Target="https://robocraze.com/products/multitec-mt-535-nose-plier?variant=43194105299168&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aS8aHmG0qjZulVJjdHzc7dC&amp;gclid=CjwKCAjw5s_QBhAdEiwADD_gBnR7TiPFeCscwBIq5QmTahqmzDI9rs8vg2mANVg-nu0JpSVw7I7fkRoC0QIQAvD_BwE" TargetMode="External"/><Relationship Id="rId76" Type="http://schemas.openxmlformats.org/officeDocument/2006/relationships/hyperlink" Target="https://robocraze.com/products/nano-board-r3-compatible-with-arduino?_pos=1&amp;_sid=9f656d811&amp;_ss=r" TargetMode="External"/><Relationship Id="rId97" Type="http://schemas.openxmlformats.org/officeDocument/2006/relationships/hyperlink" Target="http://indianrobostore.com/product/holybro-pixhawk-6c-mini-model-b-flight-controller" TargetMode="External"/><Relationship Id="rId104" Type="http://schemas.openxmlformats.org/officeDocument/2006/relationships/hyperlink" Target="https://robu.in/product/2-13s-5v-5a-bec/" TargetMode="External"/><Relationship Id="rId120" Type="http://schemas.openxmlformats.org/officeDocument/2006/relationships/hyperlink" Target="https://robu.in/product/waveshare-30kg-serial-bus-servo/" TargetMode="External"/><Relationship Id="rId125" Type="http://schemas.openxmlformats.org/officeDocument/2006/relationships/hyperlink" Target="https://drive.google.com/file/d/13zxRu-5twb70d5hUi7s3AlbBm7iRdgRp/view?usp=drive_link" TargetMode="External"/><Relationship Id="rId7" Type="http://schemas.openxmlformats.org/officeDocument/2006/relationships/hyperlink" Target="https://robocraze.com/products/xt60-connector-pair?variant=40194049540249&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OYsPSG2W0sqShi8aA7Z50_ZbB6qUm78NtNNkpNLgn19aVnO-Ri4E8aAhg8EALw_wcB" TargetMode="External"/><Relationship Id="rId71" Type="http://schemas.openxmlformats.org/officeDocument/2006/relationships/hyperlink" Target="https://robocraze.com/products/3-7v-2500mah-18650-li-ion-battery?_pos=9&amp;_sid=50ae04c9e&amp;_ss=r" TargetMode="External"/><Relationship Id="rId92" Type="http://schemas.openxmlformats.org/officeDocument/2006/relationships/hyperlink" Target="https://robocraze.com/products/3a-250v-ac-spst-on-off-round-rocker-switch?variant=43220675625184&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4&amp;gad_campaignid=21406494659&amp;gbraid=0AAAAADgHQvbf0IAdWDNM4aQ1bJA4ftWWc&amp;gclid=CjwKCAjw2rrQBhBuEiwAarLWHfuMicvlNLu_BacsT29fV8ttL9VVi1lwgoJdRPs2CeJAwtqcuvuXARoCPAcQAvD_BwE" TargetMode="External"/><Relationship Id="rId2" Type="http://schemas.openxmlformats.org/officeDocument/2006/relationships/hyperlink" Target="https://robocraze.com/products/tactile-push-button-switch-assorted-kit-25-pieces-pack?variant=43220940390624&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M-XbsoZUcIFZFUmbrsdu-e0Ty2595jRDbiCmojHNxvyoF9vS866ZsaAkxKEALw_wcB" TargetMode="External"/><Relationship Id="rId29" Type="http://schemas.openxmlformats.org/officeDocument/2006/relationships/hyperlink" Target="https://robocraze.com/products/esun-pla-basic-1-75mm-1kg-3d-printing-filament-black-color?_pos=3&amp;_sid=6ace96e91&amp;_ss=r" TargetMode="External"/><Relationship Id="rId24" Type="http://schemas.openxmlformats.org/officeDocument/2006/relationships/hyperlink" Target="https://dreampolymers.com/product/abs-pro-3d-printing-filament/?attribute_pa_color=traffic-white&amp;attribute_pa_filament-diameter=1-75-mm&amp;srsltid=AfmBOopZGVUHpVWCzzAUkjGg5zifU4SoHvsmxAi2hc77iGFfuYEEThG3tJo&amp;color=traffic-red&amp;filament-diameter=1-75-mm" TargetMode="External"/><Relationship Id="rId40" Type="http://schemas.openxmlformats.org/officeDocument/2006/relationships/hyperlink" Target="https://robocraze.com/products/lipo-battery-voltage-tester?srsltid=AfmBOoq5vTpgaGaNjkjeRN5Q44n5lB6Th8rX8atKSOj84nyy9PF-54Zz" TargetMode="External"/><Relationship Id="rId45" Type="http://schemas.openxmlformats.org/officeDocument/2006/relationships/hyperlink" Target="https://www.google.com/aclk?sa=L&amp;ai=DChsSEwj7zJDgwNKUAxV5hUsFHWxUDSMYACICCAEQERoCc2Y&amp;co=1&amp;ase=2&amp;gclid=Cj0KCQjww8rQBhDjARIsAE43KPOxPNOWWaPw-L9WBshXQsoWSVre5dzR8alpiV-pwN5wSnZTc1B3HS4aAv-tEALw_wcB&amp;cid=CAASWuRo1-ERblOK9thUeIAyJTQiLOACqN7XAAEgEvx04LAsbdCtm7wnze2IseubKj1Oe6Q3RPy8d7pxfhNhU04AruWbtPxIzy3gkP7rUskKB64CtGRKeH4TlySxdQ&amp;cce=2&amp;category=acrcp_v1_32&amp;sig=AOD64_3VeQAy_BgUozvMptXTYYctQbqxWw&amp;ctype=5&amp;q=&amp;nis=4&amp;ved=2ahUKEwj99ojgwNKUAxXCXWwGHcDCDA8Q5bgDKAB6BAgMEBE&amp;adurl=" TargetMode="External"/><Relationship Id="rId66" Type="http://schemas.openxmlformats.org/officeDocument/2006/relationships/hyperlink" Target="https://robu.in/product/freemans-gr1025-gripp-measuring-tape-10m/" TargetMode="External"/><Relationship Id="rId87" Type="http://schemas.openxmlformats.org/officeDocument/2006/relationships/hyperlink" Target="https://robocraze.com/products/32mm-mini-car-n20-motor-rubber-small-wheel" TargetMode="External"/><Relationship Id="rId110" Type="http://schemas.openxmlformats.org/officeDocument/2006/relationships/hyperlink" Target="https://robu.in/product/hqprop-thin-electric-pusher-prop-10x5r-2cw-propeller/" TargetMode="External"/><Relationship Id="rId115" Type="http://schemas.openxmlformats.org/officeDocument/2006/relationships/hyperlink" Target="https://robocraze.com/products/bonka-5200mah-35c-3s1p-11-1v-lipo-battery?variant=40351763988633&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a-wQlyG7vIgxnShaMR8O4Fy&amp;gclid=CjwKCAjw8arQBhB9EiwAfIKdQlo6TPXZE3_JGk2v-1neVPgpfMB_vlt3OrZSgTWSxAHDBR07jrPJjRoC37MQAvD_BwE" TargetMode="External"/><Relationship Id="rId61" Type="http://schemas.openxmlformats.org/officeDocument/2006/relationships/hyperlink" Target="https://www.amazon.in/Electronic-Conversion-Precision-Engineering-Industrial/dp/B0DBHBQ1QT?source=ps-sl-shoppingads-lpcontext&amp;ref_=fplfs&amp;smid=A3QDS0ZERXAPNG&amp;th=1" TargetMode="External"/><Relationship Id="rId82" Type="http://schemas.openxmlformats.org/officeDocument/2006/relationships/hyperlink" Target="https://robocraze.com/products/5mm-ldr-light-dependent-resistor?_pos=3&amp;_sid=d7a4dc4bf&amp;_ss=r" TargetMode="External"/><Relationship Id="rId19" Type="http://schemas.openxmlformats.org/officeDocument/2006/relationships/hyperlink" Target="https://robu.in/product/m4-x-8-mm-brass-heat-set-threaded-round-insert-nut-25-pcs/" TargetMode="External"/><Relationship Id="rId14" Type="http://schemas.openxmlformats.org/officeDocument/2006/relationships/hyperlink" Target="https://robocraze.com/products/vimvip-100mm-jst-2-pin-connector-plug-lead-wire-10pairs?_pos=3&amp;_sid=e10379b5d&amp;_ss=r" TargetMode="External"/><Relationship Id="rId30" Type="http://schemas.openxmlformats.org/officeDocument/2006/relationships/hyperlink" Target="https://robocraze.com/products/resistor-box" TargetMode="External"/><Relationship Id="rId35" Type="http://schemas.openxmlformats.org/officeDocument/2006/relationships/hyperlink" Target="https://robocraze.com/products/radial-ball-bearing-608zz-for-3d-printer?_pos=3&amp;_psq=ball+bearing&amp;_ss=e&amp;_v=1.0" TargetMode="External"/><Relationship Id="rId56" Type="http://schemas.openxmlformats.org/officeDocument/2006/relationships/hyperlink" Target="https://robu.in/product/10-in-1-ot-ut-fork-round-bare-ends-terminals/" TargetMode="External"/><Relationship Id="rId77" Type="http://schemas.openxmlformats.org/officeDocument/2006/relationships/hyperlink" Target="https://robocraze.com/products/300-rpm-dual-shaft-bo-motor-wheel-2-pcs?_pos=9&amp;_sid=2c349983d&amp;_ss=r" TargetMode="External"/><Relationship Id="rId100" Type="http://schemas.openxmlformats.org/officeDocument/2006/relationships/hyperlink" Target="https://robu.in/product/holybro-pmw3901-optical-flow-sensor/" TargetMode="External"/><Relationship Id="rId105" Type="http://schemas.openxmlformats.org/officeDocument/2006/relationships/hyperlink" Target="https://robu.in/product/holybro-power-distribution-board-pdb-with-xt30-pre-soldered/" TargetMode="External"/><Relationship Id="rId8" Type="http://schemas.openxmlformats.org/officeDocument/2006/relationships/hyperlink" Target="https://robocraze.com/products/10k-pot-potentiometer-pack-of-5?variant=40194262073497&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NJiMiiT5V0A07TdqzhtD3kJzgKyErbNWulHBlNrqEqlk5RW36C9zsaAoRHEALw_wcB" TargetMode="External"/><Relationship Id="rId51" Type="http://schemas.openxmlformats.org/officeDocument/2006/relationships/hyperlink" Target="https://robocraze.com/products/mq-2-gas-sensor-module?_pos=2&amp;_sid=76509159b&amp;_ss=r" TargetMode="External"/><Relationship Id="rId72" Type="http://schemas.openxmlformats.org/officeDocument/2006/relationships/hyperlink" Target="https://robocraze.com/products/18650-2-cell-holder?_pos=1&amp;_sid=e161241e6&amp;_ss=r" TargetMode="External"/><Relationship Id="rId93" Type="http://schemas.openxmlformats.org/officeDocument/2006/relationships/hyperlink" Target="https://robocraze.com/products/tcrt5000-ir-sensor-module?_pos=1&amp;_sid=bbda64486&amp;_ss=r" TargetMode="External"/><Relationship Id="rId98" Type="http://schemas.openxmlformats.org/officeDocument/2006/relationships/hyperlink" Target="https://robu.in/product/dht22-digital-temperature-humidity-sensor-temperature-humidity-module-am2302/" TargetMode="External"/><Relationship Id="rId121" Type="http://schemas.openxmlformats.org/officeDocument/2006/relationships/hyperlink" Target="https://robu.in/product/waveshare-serial-bus-servo-driver-hat-integrates-esp32-and-servo-control-circuit-suitable-for-st-rsbl-series-serial-bus-servos/?utm_source=chatgpt.com" TargetMode="External"/><Relationship Id="rId3" Type="http://schemas.openxmlformats.org/officeDocument/2006/relationships/hyperlink" Target="https://robocraze.com/products/sub-miniature-toggle-switchpack-of-5?variant=40192345899161&amp;country=IN&amp;currency=INR&amp;utm_medium=product_sync&amp;utm_source=google&amp;utm_content=sag_organic&amp;utm_campaign=sag_organic&amp;srsltid=AfmBOooHbIN9Vo4CduTL-7rNYGMJ1mqSXgq6jsBRq-sM870lOFBB7ZzQc7c" TargetMode="External"/><Relationship Id="rId25" Type="http://schemas.openxmlformats.org/officeDocument/2006/relationships/hyperlink" Target="https://dreampolymers.com/product/tpu-95a-3d-printing-filament/?color=slate-grey&amp;filament-diameter=1-75-mm" TargetMode="External"/><Relationship Id="rId46" Type="http://schemas.openxmlformats.org/officeDocument/2006/relationships/hyperlink" Target="https://www.google.com/aclk?sa=L&amp;ai=DChsSEwjVzb37vtKUAxXoiWYCHbVbO-cYACICCAEQChoCc20&amp;co=1&amp;ase=2&amp;gclid=Cj0KCQjww8rQBhDjARIsAE43KPPc62DyV6x1QiTvJRe8aWBAqh984MDDB9L-kBxvKSfDpORxwJ7wKp0aAgRKEALw_wcB&amp;cid=CAASWuRolQPinMN9LhFBANIgVZBTLUeGSHqZpPOud_lhnEDN5Ii9Y6fQEA-VBJ9KGh1fc3d_eTYkErFOYROpIWOVJYd4zhBvYtA0P2QFkAqKSNOIbjgEwze2qEetNA&amp;cce=2&amp;category=acrcp_v1_32&amp;sig=AOD64_1wKIthl4LrJeZrJLmxk7Mp7jc4pA&amp;ctype=5&amp;q=&amp;nis=4&amp;ved=2ahUKEwi3-7j7vtKUAxXeSWwGHQs4MyEQ5bgDKAB6BAgKEAs&amp;adurl=" TargetMode="External"/><Relationship Id="rId67" Type="http://schemas.openxmlformats.org/officeDocument/2006/relationships/hyperlink" Target="https://www.amazon.in/Digitek-DTR-550-LW-Tripod/dp/B074CWD7MS/ref=sr_1_1_sspa?crid=38FFKLJC3TZ4X&amp;dib=eyJ2IjoiMSJ9.bteSxmn4TMPTqCoZQFx-lshbQIBbG8D3bGA6rKJIrqPrdHnNAH77d9fNWxiOQzSDwKyAF7QZnKoSv6c4vZCfwQYW0WyEaAWGYzVb2SMXIaYb0ykDK6q8qAnHtj5-B5lkJ2K9DzaNyMt4Odg7oSbP6zxCehwUvzgrwv8MzD4B54pKh22iCSW5NY5MjiFa4PbOQw8V6RWTCp9hj0C9daOimtwEtOWnhC4pzv1b8mWclkI.4OPo0heK7m7HNek2YdIxSosq9zZGm1cS_KGFIYm8L6Q&amp;dib_tag=se&amp;keywords=tripod%2Bstand&amp;qid=1780045487&amp;sprefix=tripod%2Bsta%2Caps%2C270&amp;sr=8-1-spons&amp;aref=OnHFf5qwaV&amp;sp_csd=d2lkZ2V0TmFtZT1zcF9hdGY&amp;th=1" TargetMode="External"/><Relationship Id="rId116" Type="http://schemas.openxmlformats.org/officeDocument/2006/relationships/hyperlink" Target="https://robu.in/product/sandisk-micro-sdxc-ush-i-64gb-class-10-memory-card/" TargetMode="External"/><Relationship Id="rId20" Type="http://schemas.openxmlformats.org/officeDocument/2006/relationships/hyperlink" Target="https://robu.in/product/m3-x-4-mm-brass-heat-set-knurl-threaded-round-insert-nut-25-pcs/" TargetMode="External"/><Relationship Id="rId41" Type="http://schemas.openxmlformats.org/officeDocument/2006/relationships/hyperlink" Target="https://robocraze.com/products/joystick-module?_pos=12&amp;_sid=8714be975&amp;_ss=r" TargetMode="External"/><Relationship Id="rId62" Type="http://schemas.openxmlformats.org/officeDocument/2006/relationships/hyperlink" Target="https://robu.in/product/mastech-mas830l-digital-multimeter-with-probes-original/" TargetMode="External"/><Relationship Id="rId83" Type="http://schemas.openxmlformats.org/officeDocument/2006/relationships/hyperlink" Target="https://robu.in/product/si2302-hxy-mosfet-20v-2-8a-55m%CF%894-5v2-8a-900mw-1-2v-1-n-channel-sot-23-mosfets-rohs/" TargetMode="External"/><Relationship Id="rId88" Type="http://schemas.openxmlformats.org/officeDocument/2006/relationships/hyperlink" Target="https://robocraze.com/products/tactile-push-button-switch-assorted-kit-25-pieces-pack?_pos=2&amp;_sid=be34b4db5&amp;_ss=r" TargetMode="External"/><Relationship Id="rId111" Type="http://schemas.openxmlformats.org/officeDocument/2006/relationships/hyperlink" Target="https://robu.in/product/hqprop-thin-electric-prop-10x5-2ccw-propeller/" TargetMode="External"/><Relationship Id="rId15" Type="http://schemas.openxmlformats.org/officeDocument/2006/relationships/hyperlink" Target="https://robocraze.com/products/2-mm-pitch-jst-cable-with-connector-pack-of-10?_pos=2&amp;_sid=e10379b5d&amp;_ss=r" TargetMode="External"/><Relationship Id="rId36" Type="http://schemas.openxmlformats.org/officeDocument/2006/relationships/hyperlink" Target="https://www.amazon.in/Elcom-Small-Black-Rubber-Washer/dp/B0BG2DKQM3?source=ps-sl-shoppingads-lpcontext&amp;ref_=fplfs&amp;psc=1&amp;smid=A358TILM03S3A&amp;utm_source=chatgpt.com" TargetMode="External"/><Relationship Id="rId57" Type="http://schemas.openxmlformats.org/officeDocument/2006/relationships/hyperlink" Target="https://robocraze.com/products/multitec-mt-555-plier-8?_pos=2&amp;_sid=68024d67d&amp;_ss=r" TargetMode="External"/><Relationship Id="rId106" Type="http://schemas.openxmlformats.org/officeDocument/2006/relationships/hyperlink" Target="https://evelta.com/lji-x4-500-carbon-fiber-glass-fiber-center-plate-quadcopter-frame-kit/?sku=447-FR-147&amp;utm_source=google&amp;utm_campaign=23139913810&amp;utm_medium=cpc&amp;utm_content=&amp;utm_term=&amp;gad_source=1&amp;gad_campaignid=23135852825&amp;gbraid=0AAAAADwtsXlho5SLK4plwxaB6JHSpsxRo&amp;gclid=CjwKCAjwrNrQBhBjEiwAoR4VO7Qmfh4z1_ueiUR9n6bV6wR6LyYi8ZYxJPTUc0dAmC6LVKLoWt5FmRoC2DAQAvD_BwE" TargetMode="External"/><Relationship Id="rId10" Type="http://schemas.openxmlformats.org/officeDocument/2006/relationships/hyperlink" Target="https://robocraze.com/products/7805-ic?variant=40192321093785&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MDOQh3a_KtoexeK3fh4xG_6tztdyeXVSsM-sx7V7Yk7xljsLZJfEEaArSFEALw_wcB" TargetMode="External"/><Relationship Id="rId31" Type="http://schemas.openxmlformats.org/officeDocument/2006/relationships/hyperlink" Target="https://zbotic.in/product/3-x-7-cm-universal-pcb-prototype-board-double-side-2pcs/?gad_source=1&amp;gad_campaignid=20903026778&amp;gbraid=0AAAAACTNRdUtswc9mAY7tcvWAom0oxSH9&amp;gclid=Cj0KCQjwoMXQBhDcARIsAH-eEtviVKON7IgpHYIxNRvOirR5Pd7PRUMGl_xHCQTfuLM5d6Om5yikYyAaAu71EALw_wcB" TargetMode="External"/><Relationship Id="rId52" Type="http://schemas.openxmlformats.org/officeDocument/2006/relationships/hyperlink" Target="https://robocraze.com/products/lm393-photosensitive-ldr-light-dependent-control-sensor-module?_pos=1&amp;_sid=beb89dbfe&amp;_ss=r" TargetMode="External"/><Relationship Id="rId73" Type="http://schemas.openxmlformats.org/officeDocument/2006/relationships/hyperlink" Target="https://elekzone.com/index.php?route=product/product&amp;product_id=2926&amp;search=18650+charger" TargetMode="External"/><Relationship Id="rId78" Type="http://schemas.openxmlformats.org/officeDocument/2006/relationships/hyperlink" Target="https://robocraze.com/products/half-breadboard?_pos=1&amp;_sid=f181686f3&amp;_ss=r" TargetMode="External"/><Relationship Id="rId94" Type="http://schemas.openxmlformats.org/officeDocument/2006/relationships/hyperlink" Target="https://robocraze.com/products/sot23-3-sot23-5-sot23-6-sot23-8-smd-to-dip-pcb-adapter-board-7semi" TargetMode="External"/><Relationship Id="rId99" Type="http://schemas.openxmlformats.org/officeDocument/2006/relationships/hyperlink" Target="https://robu.in/product/ublox-neo-m8n-gps-for-apm-and-pixhawk-flight-controller/" TargetMode="External"/><Relationship Id="rId101" Type="http://schemas.openxmlformats.org/officeDocument/2006/relationships/hyperlink" Target="https://robu.in/product/tfmini-s-micro-lidar-distance-sensor/" TargetMode="External"/><Relationship Id="rId122" Type="http://schemas.openxmlformats.org/officeDocument/2006/relationships/hyperlink" Target="https://robocraze.com/products/matek-systems-pdb-xt60-power-distribution-board?variant=40194423652505&amp;country=IN&amp;currency=INR&amp;utm_source=chatgpt.com" TargetMode="External"/><Relationship Id="rId4" Type="http://schemas.openxmlformats.org/officeDocument/2006/relationships/hyperlink" Target="https://robocraze.com/products/rocker-switch-16a-250v-spdt-3pin-red-led-2?variant=43223563337952&amp;country=IN&amp;currency=INR&amp;utm_medium=product_sync&amp;utm_source=google&amp;utm_content=sag_organic&amp;utm_campaign=sag_organic&amp;utm_source=google&amp;utm_medium=cpc&amp;utm_campaign=BL+%7C+Pmax+%7C+Feed+Only+%7C+All+Products+%7C+Top+5+Cities+%7C22%2F06&amp;utm_source=googleads&amp;utm_medium=ppc&amp;utm_campaign=21400046529&amp;utm_content=_&amp;utm_term=&amp;campaignid=21400046529&amp;adgroupid=&amp;campaign=21400046529&amp;gad_source=1&amp;gad_campaignid=21406494659&amp;gbraid=0AAAAADgHQvYC9CzpoVP3KYL6FAqmJDLy-&amp;gclid=Cj0KCQjww8rQBhDjARIsAE43KPN-ZunAKmARt1QAo2KYOCxvLFE1F9Dt1kluLsdzUtTfCOuLQgeDTHkaAox0EALw_wcB" TargetMode="External"/><Relationship Id="rId9" Type="http://schemas.openxmlformats.org/officeDocument/2006/relationships/hyperlink" Target="https://robocraze.com/products/ams1117-3-3v-voltage-regulator?srsltid=AfmBOoqq0x9vC1Qnh-wNve_JwQP0f5aJH_qdkaf5OuyXTYZzfso2-dyX"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he-captable.com/subscription/" TargetMode="External"/><Relationship Id="rId2" Type="http://schemas.openxmlformats.org/officeDocument/2006/relationships/hyperlink" Target="https://in.tradingview.com/pricing/" TargetMode="External"/><Relationship Id="rId1" Type="http://schemas.openxmlformats.org/officeDocument/2006/relationships/hyperlink" Target="https://zerodha.com/products/api/"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robu.in/product/glass-fiber-flight-controller-anti-vibration-set-shock-absorber-apmkkmwc/" TargetMode="External"/><Relationship Id="rId13" Type="http://schemas.openxmlformats.org/officeDocument/2006/relationships/hyperlink" Target="https://robu.in/product/twotrees-m1-cnc-vacuum-cleaner-monster-kit/" TargetMode="External"/><Relationship Id="rId3" Type="http://schemas.openxmlformats.org/officeDocument/2006/relationships/hyperlink" Target="https://robu.in/product/dys-d3530-14-1100kv-bldc-motor/" TargetMode="External"/><Relationship Id="rId7" Type="http://schemas.openxmlformats.org/officeDocument/2006/relationships/hyperlink" Target="https://robu.in/product/pdb-xt60-w-bec-5v-12v/" TargetMode="External"/><Relationship Id="rId12" Type="http://schemas.openxmlformats.org/officeDocument/2006/relationships/hyperlink" Target="https://www.amazon.in/dp/B0CMC73BN9?ref_=cm_sw_r_cp_ud_dp_C5VMA0Q16D5RE5M3SJJ5" TargetMode="External"/><Relationship Id="rId2" Type="http://schemas.openxmlformats.org/officeDocument/2006/relationships/hyperlink" Target="https://robu.in/product/a2212-10t-13t-1400kv-brushless-motor-with-soldered-connector/" TargetMode="External"/><Relationship Id="rId1" Type="http://schemas.openxmlformats.org/officeDocument/2006/relationships/hyperlink" Target="https://robu.in/product/pro-range-5200mah-3s-40c80c-lithium-polymer-battery-pack-lipo/" TargetMode="External"/><Relationship Id="rId6" Type="http://schemas.openxmlformats.org/officeDocument/2006/relationships/hyperlink" Target="https://robu.in/product/apm-pixhawk-power-module-output-bec-3a-xt60-connector-28v-90a/" TargetMode="External"/><Relationship Id="rId11" Type="http://schemas.openxmlformats.org/officeDocument/2006/relationships/hyperlink" Target="https://www.amazon.in/Filament-Dimensional-Accuracy-Strength-Printers/dp/B0FJY6XYHC/ref=sr_1_8?sr=8-8" TargetMode="External"/><Relationship Id="rId5" Type="http://schemas.openxmlformats.org/officeDocument/2006/relationships/hyperlink" Target="https://robu.in/product/surpass-flier-60a-esc-li2-6s-ninh5-18nc-sbec5v-6v-8a-703410mm-4-0-connector/" TargetMode="External"/><Relationship Id="rId15" Type="http://schemas.openxmlformats.org/officeDocument/2006/relationships/hyperlink" Target="https://robu.in/product/flysky-fs-i6x-2-4ghz-10ch-afhds-2a-rc-transmitter-with-fs-ia10b-2-4ghz-10ch-receiver/" TargetMode="External"/><Relationship Id="rId10" Type="http://schemas.openxmlformats.org/officeDocument/2006/relationships/hyperlink" Target="https://robu.in/product/pultruded-carbon-fiber-tube-hollow-10mmod-8mmid-1000mml-pack-of-2/" TargetMode="External"/><Relationship Id="rId4" Type="http://schemas.openxmlformats.org/officeDocument/2006/relationships/hyperlink" Target="https://robu.in/product/hobbywing-xrotor-40a-esc-for-diy-multicopter-drone/" TargetMode="External"/><Relationship Id="rId9" Type="http://schemas.openxmlformats.org/officeDocument/2006/relationships/hyperlink" Target="https://robu.in/product/air-speed-sensor-and-pitot-tube-set-pixhawk/" TargetMode="External"/><Relationship Id="rId14" Type="http://schemas.openxmlformats.org/officeDocument/2006/relationships/hyperlink" Target="https://robu.in/product/pixhawk-px4-autopilot-pix-2-4-8-32-bit-flight-controller/"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amzn.in/d/06YvD6Cn" TargetMode="External"/><Relationship Id="rId18" Type="http://schemas.openxmlformats.org/officeDocument/2006/relationships/hyperlink" Target="https://amzn.in/d/060DapQV" TargetMode="External"/><Relationship Id="rId26" Type="http://schemas.openxmlformats.org/officeDocument/2006/relationships/hyperlink" Target="https://amzn.in/d/0csUipi5" TargetMode="External"/><Relationship Id="rId39" Type="http://schemas.openxmlformats.org/officeDocument/2006/relationships/hyperlink" Target="https://robu.in/product/ds1302-real-time-clock-module-cr2032-battery/?gad_source=1&amp;gad_campaignid=17416544847&amp;gbraid=0AAAAADvLFWeWc3ETUMqspBgCqRUFanBmg&amp;gclid=Cj0KCQjwh4TVBhCWARIsAG0czmrhoA_yubrDRfHrQfmRzaDpEOSgO0XYH9mim0pqdzfsSdq2a5herEsaAsbsEALw_wcB" TargetMode="External"/><Relationship Id="rId21" Type="http://schemas.openxmlformats.org/officeDocument/2006/relationships/hyperlink" Target="https://amzn.in/d/06ocKMIp" TargetMode="External"/><Relationship Id="rId34" Type="http://schemas.openxmlformats.org/officeDocument/2006/relationships/hyperlink" Target="https://amzn.in/d/0e7SmWtp" TargetMode="External"/><Relationship Id="rId42" Type="http://schemas.openxmlformats.org/officeDocument/2006/relationships/hyperlink" Target="https://secure.elements.envato.com/subscribe?ct=smp&amp;lang=en&amp;steps=false&amp;renewalInterval=year&amp;tier=tier1" TargetMode="External"/><Relationship Id="rId7" Type="http://schemas.openxmlformats.org/officeDocument/2006/relationships/hyperlink" Target="https://www.amazon.in/Electronic-Spices-Woofer-Double-Speaker/dp/B0BN442KJZ/ref=pb_allspark_dp_sims_pao_desktop_session_based_d_sccl_1_2/522-4252313-0357849?pd_rd_w=he2Md&amp;content-id=amzn1.sym.e84a26b2-5470-42e6-b7fa-162e7bb17185&amp;pf_rd_p=e84a26b2-5470-42e6-b7fa-162e7bb17185&amp;pf_rd_r=KHDBEVJ1MS92BKKBQMSP&amp;pd_rd_wg=qkYT8&amp;pd_rd_r=3dc08e33-159d-40df-8b2f-cbe58170ea67&amp;pd_rd_i=B0BN442KJZ&amp;psc=1" TargetMode="External"/><Relationship Id="rId2" Type="http://schemas.openxmlformats.org/officeDocument/2006/relationships/hyperlink" Target="https://robu.in/product/esun-abs-1-75mm-3d-printing-filament-1kg-black/?gad_source=1&amp;gad_campaignid=17419548856&amp;gbraid=0AAAAADvLFWc3JzN_Wr3jCjxQoIzq7fWr-&amp;gclid=CjwKCAjwxITRBhBYEiwA6mZm7eTCt1IRF-HOmaR16DaCDbQet-uMRKTdGoiybo4LzY7rcv_KqRTU7BoCQV0QAvD_BwE" TargetMode="External"/><Relationship Id="rId16" Type="http://schemas.openxmlformats.org/officeDocument/2006/relationships/hyperlink" Target="https://amzn.in/d/03pQ630n" TargetMode="External"/><Relationship Id="rId20" Type="http://schemas.openxmlformats.org/officeDocument/2006/relationships/hyperlink" Target="https://amzn.in/d/07Og5JJY" TargetMode="External"/><Relationship Id="rId29" Type="http://schemas.openxmlformats.org/officeDocument/2006/relationships/hyperlink" Target="https://amzn.in/d/0epeFKJn" TargetMode="External"/><Relationship Id="rId41" Type="http://schemas.openxmlformats.org/officeDocument/2006/relationships/hyperlink" Target="https://www.adobe.com/in/creativecloud/buy/students/photoshop.html?sdid=GZKZXL77&amp;mv=search&amp;mv2=paidsearch&amp;ef_id=Cj0KCQjwz9_QBhD_ARIsADnSCfATdjb4UjaHnvWxrX1nbUkqSkRWkH873LEcg_QWjPlIPJXx7b-jpa4aAp1PEALw_wcB:G:s&amp;s_kwcid=AL!3085!3!807640324992!b!!g!!photoshop%20student!23578738074!192972009026&amp;mv=search&amp;gad_source=1&amp;gad_campaignid=23578738074&amp;gbraid=0AAAAADql_CD3UTgOEfVMEo8jqIXYr3bBL&amp;gclid=Cj0KCQjwz9_QBhD_ARIsADnSCfATdjb4UjaHnvWxrX1nbUkqSkRWkH873LEcg_QWjPlIPJXx7b-jpa4aAp1PEALw_wcB" TargetMode="External"/><Relationship Id="rId1" Type="http://schemas.openxmlformats.org/officeDocument/2006/relationships/hyperlink" Target="https://robu.in/product/esun-pla-1-75mm-3d-printing-filament-1kg-white/?gad_source=4&amp;gad_campaignid=17419548856&amp;gbraid=0AAAAADvLFWf2SIDUaccUwHlfAeMs4SyYF&amp;gclid=CjwKCAiAj8LLBhAkEiwAJjbY7_Ax0Ms-V39-rIXTAetuf0bjfkTkdPmywgGqwcP6Ya4ZFGptPpkuZxoCngcQAvD_BwE" TargetMode="External"/><Relationship Id="rId6" Type="http://schemas.openxmlformats.org/officeDocument/2006/relationships/hyperlink" Target="https://robu.in/product/esp32-38pin-development-board-wifibluetooth-ultra-low-power-consumption-dual-core/" TargetMode="External"/><Relationship Id="rId11" Type="http://schemas.openxmlformats.org/officeDocument/2006/relationships/hyperlink" Target="https://www.amazon.in/KP-Original-Battery-Rechargeable-KP-603048/dp/B0GM6RKSB4?source=ps-sl-shoppingads-lpcontext&amp;ref_=fplfs&amp;psc=1&amp;smid=A3QQB9C2QXM7ZJ" TargetMode="External"/><Relationship Id="rId24" Type="http://schemas.openxmlformats.org/officeDocument/2006/relationships/hyperlink" Target="https://amzn.in/d/01AbtvUw" TargetMode="External"/><Relationship Id="rId32" Type="http://schemas.openxmlformats.org/officeDocument/2006/relationships/hyperlink" Target="https://amzn.in/d/03NhFbF8" TargetMode="External"/><Relationship Id="rId37" Type="http://schemas.openxmlformats.org/officeDocument/2006/relationships/hyperlink" Target="https://www.amazon.in/Techtonics-16-Channel-interface-PCA9685-Raspberry/dp/B0842YG61G" TargetMode="External"/><Relationship Id="rId40" Type="http://schemas.openxmlformats.org/officeDocument/2006/relationships/hyperlink" Target="https://www.amazon.in/DC-CONVERTER-12-24V-20a/dp/B07N8V399S" TargetMode="External"/><Relationship Id="rId5" Type="http://schemas.openxmlformats.org/officeDocument/2006/relationships/hyperlink" Target="https://robu.in/product/csr8645-wireless-4-0-amplifier-board-5w5w-apt-x-stereo-receiver-amplifier-module/" TargetMode="External"/><Relationship Id="rId15" Type="http://schemas.openxmlformats.org/officeDocument/2006/relationships/hyperlink" Target="https://amzn.in/d/01mci6JE" TargetMode="External"/><Relationship Id="rId23" Type="http://schemas.openxmlformats.org/officeDocument/2006/relationships/hyperlink" Target="https://amzn.in/d/01vobwBj" TargetMode="External"/><Relationship Id="rId28" Type="http://schemas.openxmlformats.org/officeDocument/2006/relationships/hyperlink" Target="https://amzn.in/d/0g0Lp6bJ" TargetMode="External"/><Relationship Id="rId36" Type="http://schemas.openxmlformats.org/officeDocument/2006/relationships/hyperlink" Target="https://robu.in/product/pro-range-inr-18650-7-4v-5000mah-3c-2s2p-li-ion-battery-pack-in-a-line-with-dc-jack-male-female/?gad_source=1&amp;gad_campaignid=17427802559&amp;gbraid=0AAAAADvLFWftV_HhkkYTTQYXz5XmNiLpW&amp;gclid=Cj0KCQjwh4TVBhCWARIsAG0czmpNRsHFcgaLrhOTDPMFATK2P1iMpivIHfHxf5iO4XL9CwYj_JCuiicaAnSnEALw_wcB" TargetMode="External"/><Relationship Id="rId10" Type="http://schemas.openxmlformats.org/officeDocument/2006/relationships/hyperlink" Target="https://robu.in/product/smartelex-tp4056-li-ion-battery-charger/" TargetMode="External"/><Relationship Id="rId19" Type="http://schemas.openxmlformats.org/officeDocument/2006/relationships/hyperlink" Target="https://amzn.in/d/0j666GtK" TargetMode="External"/><Relationship Id="rId31" Type="http://schemas.openxmlformats.org/officeDocument/2006/relationships/hyperlink" Target="https://amzn.in/d/08e1McUv" TargetMode="External"/><Relationship Id="rId4" Type="http://schemas.openxmlformats.org/officeDocument/2006/relationships/hyperlink" Target="https://docs.google.com/document/d/1jZmyDD02x-VLqpF269pOo2Eed3pXCwtB0nrgF0yVye4/edit?usp=drivesdk" TargetMode="External"/><Relationship Id="rId9" Type="http://schemas.openxmlformats.org/officeDocument/2006/relationships/hyperlink" Target="https://robu.in/product/smartelex-i2s-audio-breakout-max98357a/" TargetMode="External"/><Relationship Id="rId14" Type="http://schemas.openxmlformats.org/officeDocument/2006/relationships/hyperlink" Target="https://amzn.in/d/0dKtmXEi" TargetMode="External"/><Relationship Id="rId22" Type="http://schemas.openxmlformats.org/officeDocument/2006/relationships/hyperlink" Target="https://amzn.in/d/0fBALnzx" TargetMode="External"/><Relationship Id="rId27" Type="http://schemas.openxmlformats.org/officeDocument/2006/relationships/hyperlink" Target="https://amzn.in/d/00PoE6vS" TargetMode="External"/><Relationship Id="rId30" Type="http://schemas.openxmlformats.org/officeDocument/2006/relationships/hyperlink" Target="https://amzn.in/d/0brIKQC5" TargetMode="External"/><Relationship Id="rId35" Type="http://schemas.openxmlformats.org/officeDocument/2006/relationships/hyperlink" Target="https://robu.in/product/towerpro-sg90-9g-mini-servo-9-gram/?gad_source=1&amp;gad_campaignid=20381096599&amp;gbraid=0AAAAADvLFWeqoCRmzqGYmGA8zVjHlvaPb&amp;gclid=Cj0KCQjwh4TVBhCWARIsAG0czmouBWicR9iM-HSqSE4R7o1HlA4L-HEw568wvJQSm7qs6YFN7gJLrk0aAp6FEALw_wcB" TargetMode="External"/><Relationship Id="rId8" Type="http://schemas.openxmlformats.org/officeDocument/2006/relationships/hyperlink" Target="https://www.amazon.in/ERH-India-Bluetooth-Portable-Loudspeaker/dp/B08V1LMMTD" TargetMode="External"/><Relationship Id="rId3" Type="http://schemas.openxmlformats.org/officeDocument/2006/relationships/hyperlink" Target="https://amzn.in/d/0fAzV3DA" TargetMode="External"/><Relationship Id="rId12" Type="http://schemas.openxmlformats.org/officeDocument/2006/relationships/hyperlink" Target="https://robu.in/product/hall-magnetic-sensor-module/" TargetMode="External"/><Relationship Id="rId17" Type="http://schemas.openxmlformats.org/officeDocument/2006/relationships/hyperlink" Target="https://amzn.in/d/09bIovBF" TargetMode="External"/><Relationship Id="rId25" Type="http://schemas.openxmlformats.org/officeDocument/2006/relationships/hyperlink" Target="https://amzn.in/d/01qOwuhB" TargetMode="External"/><Relationship Id="rId33" Type="http://schemas.openxmlformats.org/officeDocument/2006/relationships/hyperlink" Target="https://amzn.in/d/01IaRnjs" TargetMode="External"/><Relationship Id="rId38" Type="http://schemas.openxmlformats.org/officeDocument/2006/relationships/hyperlink" Target="https://robu.in/product/esp32-38pin-development-board-wifibluetooth-ultra-low-power-consumption-dual-core/"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amazon.in/dp/B0CRHMF3VM?ref=cm_sw_r_cso_cp_apan_dp_5G9FM2JN0FVDFW2W3P3H&amp;ref_=cm_sw_r_cso_cp_apan_dp_5G9FM2JN0FVDFW2W3P3H&amp;social_share=cm_sw_r_cso_cp_apan_dp_5G9FM2JN0FVDFW2W3P3H" TargetMode="External"/><Relationship Id="rId3" Type="http://schemas.openxmlformats.org/officeDocument/2006/relationships/hyperlink" Target="https://www.tejraj.com/product/12v-5amp-rechargeable-power-tank?srsltid=AfmBOooZNRyq_w4sNNd-2Y7dg4-3KW757tDhjYP7THyt5xk-jLgG7chn" TargetMode="External"/><Relationship Id="rId7" Type="http://schemas.openxmlformats.org/officeDocument/2006/relationships/hyperlink" Target="https://www.amazon.in/dp/B0FT5MG3FB?ref=cm_sw_r_cso_cp_apan_dp_89F1Z6DAX2Z4XPEKKJ2V&amp;ref_=cm_sw_r_cso_cp_apan_dp_89F1Z6DAX2Z4XPEKKJ2V&amp;social_share=cm_sw_r_cso_cp_apan_dp_89F1Z6DAX2Z4XPEKKJ2V" TargetMode="External"/><Relationship Id="rId2" Type="http://schemas.openxmlformats.org/officeDocument/2006/relationships/hyperlink" Target="https://www.tejraj.com/product/binocular-solar-filters" TargetMode="External"/><Relationship Id="rId1" Type="http://schemas.openxmlformats.org/officeDocument/2006/relationships/hyperlink" Target="https://www.tejraj.com/product/bresser-hunter-10x50-binoculars" TargetMode="External"/><Relationship Id="rId6" Type="http://schemas.openxmlformats.org/officeDocument/2006/relationships/hyperlink" Target="https://robu.in/product/rtl-sdr-blog-v4-r828d-rtl2832u-1ppm-tcxo-sma-software-defined-radio-with-dipole-antenna-kit/" TargetMode="External"/><Relationship Id="rId5" Type="http://schemas.openxmlformats.org/officeDocument/2006/relationships/hyperlink" Target="https://gpio.com/products/1420-mhz-bandpass-filter?srsltid=AfmBOoqJaWiyMtimnTOGHVqcUfpnNKRrFrAdQesxyXGBxdua7T_t1wuk" TargetMode="External"/><Relationship Id="rId4" Type="http://schemas.openxmlformats.org/officeDocument/2006/relationships/hyperlink" Target="https://www.amazon.in/Nooelec-Lana-Accessories-20MHz-4000MHz-Capability/dp/B07XNLJ9X2/ref=sr_1_3?dib=eyJ2IjoiMSJ9.zsNjyGhixu3EVVy88vg9iVPIJGDkZ181a68GYgo9NUia3Y7KBNHUWVdQSJcflCdXnpTq1yHKySKNrvoTdC5yco1svQZeeGB0XMdEDebK1rIv_m-zxjr8vg_BU7oT0J97ai-1hRmL0E2AHRq-GR1UgwYqx5DyHIK2DkwixbZO6sl0P3EBZIXmorGZH7arq-pZvOdt_2s7J6Eln1yRTBLQHenzH_aITNFcxxdat7C4Z9s.SmmGmWv6X_2p1VlkOlYMk2JbNAINrokYeQv575VtH6g&amp;dib_tag=se&amp;keywords=1420+MHz+low+noise+amplifier&amp;qid=1788790248&amp;sr=8-3" TargetMode="External"/><Relationship Id="rId9" Type="http://schemas.openxmlformats.org/officeDocument/2006/relationships/hyperlink" Target="https://www.amazon.in/VITSZEE-Aluminium-Sheet-multiperpose-Projects/dp/B0C9JM1ZV5/ref=sr_1_5?dib=eyJ2IjoiMSJ9.ykRcNyyu8S9cGY6h9w75-9SrkbGtURKk0YprDpY3u_h7EIEt_vMbFs0sgOAQ4he3HtMXXrKhHcjbnXyOx10WLVkJXq0WL-8fetnNrYluYwDIemaO7ogAP0vDkGuErU3f8E3fL2NArSVvHQGPNjJw4gTgjhTd8n3FidILMtDXz1dDLQB9TbVlcx_Ju9-8e9Pk9jjty89eCiRp-EBn2Blsigqh_-Hvm6e_W0pcPYr0dpwILZOt2ZEsf4k3AV_XrrDK93HGs0j0FNNt4DV7bVJ5hwYCKr1PMeF--w22nMoXzr0.ua2baQtprJ5BRerazHn66F0Bfyw4w8SBGHv72-jgK2k&amp;dib_tag=se&amp;keywords=1mm+aluminium+sheet&amp;qid=1788792230&amp;sr=8-5"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robu.in/product/915-cm-universal-pcb-prototype-board-double-sided/" TargetMode="External"/><Relationship Id="rId21" Type="http://schemas.openxmlformats.org/officeDocument/2006/relationships/hyperlink" Target="https://robu.in/product/cable-for-arduino-nano-usb-a-to-mini-b-4-5-feet-nickel-plated/" TargetMode="External"/><Relationship Id="rId34" Type="http://schemas.openxmlformats.org/officeDocument/2006/relationships/hyperlink" Target="https://www.amazon.in/STYLE-SUTRA-Assortment-Integrated-Appliances/dp/B0CHYJBZRK" TargetMode="External"/><Relationship Id="rId42" Type="http://schemas.openxmlformats.org/officeDocument/2006/relationships/hyperlink" Target="https://robu.in/product/bc547-npn-transistor-pack-of-20/" TargetMode="External"/><Relationship Id="rId47" Type="http://schemas.openxmlformats.org/officeDocument/2006/relationships/hyperlink" Target="https://robu.in/product/30-different-valued-metal-film-resistor-assorted-kit-for-diy-electronic-projects-and-experiments/" TargetMode="External"/><Relationship Id="rId50" Type="http://schemas.openxmlformats.org/officeDocument/2006/relationships/hyperlink" Target="https://robu.in/product/100k-ohm-3pin-15mm-shaft-potentiometer-pack-of-3/" TargetMode="External"/><Relationship Id="rId55" Type="http://schemas.openxmlformats.org/officeDocument/2006/relationships/hyperlink" Target="https://robu.in/product/towerpro-mg996r-digital-high-torque-servo-motor/" TargetMode="External"/><Relationship Id="rId63" Type="http://schemas.openxmlformats.org/officeDocument/2006/relationships/hyperlink" Target="https://robu.in/product/beaglebone-black-rev-c/" TargetMode="External"/><Relationship Id="rId7" Type="http://schemas.openxmlformats.org/officeDocument/2006/relationships/hyperlink" Target="https://robu.in/product/230m-p-n-b-30-1000-insulated-pvc-coated-30awg-wire-wrapping-wire-red/?gad_source=1&amp;gad_campaignid=17427802559&amp;gbraid=0AAAAADvLFWd-gKWYazjTxTWs8mNTI7DB5&amp;gclid=CjwKCAiAj8LLBhAkEiwAJjbY72Xff2VvKpdXXapvlY7p_1V5aebXE-rHxKWh6bb0jjBz6yx3ab4ozxoCxwwQAvD_BwE" TargetMode="External"/><Relationship Id="rId2" Type="http://schemas.openxmlformats.org/officeDocument/2006/relationships/hyperlink" Target="https://robu.in/product/solder-wire-0-5mm-50g-b-type-35-tin-content/" TargetMode="External"/><Relationship Id="rId16" Type="http://schemas.openxmlformats.org/officeDocument/2006/relationships/hyperlink" Target="https://robu.in/product/original-arduino-uno-rev3/?gad_source=4&amp;gad_campaignid=17413441824&amp;gbraid=0AAAAADvLFWcmAVdf9TEcNULys0HHLf2FP&amp;gclid=CjwKCAiA7LzLBhAgEiwAjMWzCDuR6z0HnbTuRINn_QhZly_Yd9X8_plJdBX4IbH2PGFxR0PMn4Lp5RoC2uIQAvD_BwE" TargetMode="External"/><Relationship Id="rId29" Type="http://schemas.openxmlformats.org/officeDocument/2006/relationships/hyperlink" Target="https://robu.in/product/1-month-warranty-1260/" TargetMode="External"/><Relationship Id="rId11" Type="http://schemas.openxmlformats.org/officeDocument/2006/relationships/hyperlink" Target="https://robocraze.com/products/bambu-lab-p2s-combo-3d-printer?variant=48735764676832&amp;country=IN&amp;currency=INR&amp;utm_medium=product_sync&amp;utm_source=google&amp;utm_content=sag_organic&amp;utm_campaign=sag_organic&amp;utm_source=google&amp;utm_medium=cpc&amp;utm_campaign=BL+%7C+Pmax+%7C+Feed+Only+%7C+RoboCraze+%7C+Electronic+Components+%7C+31%2F05&amp;utm_source=googleads&amp;utm_medium=ppc&amp;utm_campaign=21337209786&amp;utm_content=_&amp;utm_term=&amp;campaignid=21337209786&amp;adgroupid=&amp;campaign=21337209786&amp;gad_source=1&amp;gad_campaignid=21343423652&amp;gclid=Cj0KCQjwh4TVBhCWARIsAG0czmrBiPfpTzFeK6TwxLtx5Hyf_UefpfSTXyqgCZyFLzkgjlCrCdKv8jQaAvDrEALw_wcB" TargetMode="External"/><Relationship Id="rId24" Type="http://schemas.openxmlformats.org/officeDocument/2006/relationships/hyperlink" Target="https://robu.in/product/mb102-830-points-solderless-prototype-pcb-breadboard-high-quality/" TargetMode="External"/><Relationship Id="rId32" Type="http://schemas.openxmlformats.org/officeDocument/2006/relationships/hyperlink" Target="https://robu.in/product/black-1-5m-micro-hdmi-to-hdmi-copper-clad-steel-cable-for-raspberry-pi-4b/" TargetMode="External"/><Relationship Id="rId37" Type="http://schemas.openxmlformats.org/officeDocument/2006/relationships/hyperlink" Target="https://robu.in/product/14-pin-dip-ic-socket-base-adaptor-pack-of-5/" TargetMode="External"/><Relationship Id="rId40" Type="http://schemas.openxmlformats.org/officeDocument/2006/relationships/hyperlink" Target="https://robu.in/product/tl062-hlf-dual-low-power-jfet-input-operational-amplifier-ic/" TargetMode="External"/><Relationship Id="rId45" Type="http://schemas.openxmlformats.org/officeDocument/2006/relationships/hyperlink" Target="https://robu.in/product/1n4007-through-hole-diodepack-of-5000/" TargetMode="External"/><Relationship Id="rId53" Type="http://schemas.openxmlformats.org/officeDocument/2006/relationships/hyperlink" Target="https://robu.in/product/lm358p-pdip-8-high-gain-operational-amplifier-pack-of-5-ics/" TargetMode="External"/><Relationship Id="rId58" Type="http://schemas.openxmlformats.org/officeDocument/2006/relationships/hyperlink" Target="https://robu.in/product/flycci-brushless-motors-bgm2606-90-90kv/?utm_source=chatgpt.com" TargetMode="External"/><Relationship Id="rId66" Type="http://schemas.openxmlformats.org/officeDocument/2006/relationships/hyperlink" Target="https://robu.in/product/waveshare-core-sx1262-868m-lora-module/" TargetMode="External"/><Relationship Id="rId5" Type="http://schemas.openxmlformats.org/officeDocument/2006/relationships/hyperlink" Target="https://robu.in/product/esun-pla-1-75mm-3d-printing-filament-1kg-white/?gad_source=4&amp;gad_campaignid=17419548856&amp;gbraid=0AAAAADvLFWf2SIDUaccUwHlfAeMs4SyYF&amp;gclid=CjwKCAiAj8LLBhAkEiwAJjbY7_Ax0Ms-V39-rIXTAetuf0bjfkTkdPmywgGqwcP6Ya4ZFGptPpkuZxoCngcQAvD_BwE" TargetMode="External"/><Relationship Id="rId61" Type="http://schemas.openxmlformats.org/officeDocument/2006/relationships/hyperlink" Target="https://robu.in/product/female-2-15-5mm-for-dc-power-jack-adapter-connector-plug-for-cctv-camera-pack-of-2/" TargetMode="External"/><Relationship Id="rId19" Type="http://schemas.openxmlformats.org/officeDocument/2006/relationships/hyperlink" Target="https://robu.in/product/esp-wroom-32-wifi-bluetooth-networking-smart-component-development-board/" TargetMode="External"/><Relationship Id="rId14" Type="http://schemas.openxmlformats.org/officeDocument/2006/relationships/hyperlink" Target="https://robu.in/product/original-arduino-nano/?gad_source=4&amp;gad_campaignid=17413441824&amp;gbraid=0AAAAADvLFWcmAVdf9TEcNULys0HHLf2FP&amp;gclid=CjwKCAiA7LzLBhAgEiwAjMWzCNgdM4W9OpUhmF1dcDhzWhN6DqVzvEfMRdvM_oZcg4bwC7thWJE8qhoCp34QAvD_BwE" TargetMode="External"/><Relationship Id="rId22" Type="http://schemas.openxmlformats.org/officeDocument/2006/relationships/hyperlink" Target="https://robu.in/product/cable-arduino-unomega-usb-b-4-5-feet/" TargetMode="External"/><Relationship Id="rId27" Type="http://schemas.openxmlformats.org/officeDocument/2006/relationships/hyperlink" Target="https://robu.in/product/79-cm-universal-pcb-prototype-board-double-sided/" TargetMode="External"/><Relationship Id="rId30" Type="http://schemas.openxmlformats.org/officeDocument/2006/relationships/hyperlink" Target="https://robu.in/product/20-cm-40-pin-dupont-male-male-male-female-female-female-cable-combo/" TargetMode="External"/><Relationship Id="rId35" Type="http://schemas.openxmlformats.org/officeDocument/2006/relationships/hyperlink" Target="https://robu.in/product/200pcs-0410-1uh-4-7mh-color-ring-inductor-kit/" TargetMode="External"/><Relationship Id="rId43" Type="http://schemas.openxmlformats.org/officeDocument/2006/relationships/hyperlink" Target="https://robu.in/product/bc557-pnp-transistor-pack-of-20/" TargetMode="External"/><Relationship Id="rId48" Type="http://schemas.openxmlformats.org/officeDocument/2006/relationships/hyperlink" Target="https://robu.in/product/pro-range-50pcs-3296w-adjustable-potentiometer-kit/" TargetMode="External"/><Relationship Id="rId56" Type="http://schemas.openxmlformats.org/officeDocument/2006/relationships/hyperlink" Target="https://robu.in/product/mt6835-magnetic-encoder-module-pwmspi-brushless-motor-21bit-encoder-with-4x2mm-magnet-to-replace-as5048-ab-16384/" TargetMode="External"/><Relationship Id="rId64" Type="http://schemas.openxmlformats.org/officeDocument/2006/relationships/hyperlink" Target="https://robu.in/product/newae-nae-cwnano-development-boards-kits/" TargetMode="External"/><Relationship Id="rId8" Type="http://schemas.openxmlformats.org/officeDocument/2006/relationships/hyperlink" Target="https://robu.in/product/230m-p-n-b-30-1000-insulated-pvc-coated-30awg-wire-wrapping-wire-black/" TargetMode="External"/><Relationship Id="rId51" Type="http://schemas.openxmlformats.org/officeDocument/2006/relationships/hyperlink" Target="https://robu.in/product/pro-range-500pcs-0-1uf-1000uf-plug-in-electrolytic-capacitor-kit/" TargetMode="External"/><Relationship Id="rId3" Type="http://schemas.openxmlformats.org/officeDocument/2006/relationships/hyperlink" Target="https://robu.in/product/best-quality-solder-desoldering-wire-de-soldering-wick/" TargetMode="External"/><Relationship Id="rId12" Type="http://schemas.openxmlformats.org/officeDocument/2006/relationships/hyperlink" Target="https://robu.in/product/hakko-soldering-tip-conical-900m-t-1-2d/" TargetMode="External"/><Relationship Id="rId17" Type="http://schemas.openxmlformats.org/officeDocument/2006/relationships/hyperlink" Target="https://robu.in/product/original-arduino-mega-2560-atmega2560-mcu-rev3/" TargetMode="External"/><Relationship Id="rId25" Type="http://schemas.openxmlformats.org/officeDocument/2006/relationships/hyperlink" Target="https://robu.in/product/solderless-400-pin-breadboard-normal-quality-without-packing/" TargetMode="External"/><Relationship Id="rId33" Type="http://schemas.openxmlformats.org/officeDocument/2006/relationships/hyperlink" Target="https://robu.in/product/waveshare-10-1inch-capacitive-touch-display-optical-bonding-toughened-glass-panel-1280x800-ips-hdmi-interface/" TargetMode="External"/><Relationship Id="rId38" Type="http://schemas.openxmlformats.org/officeDocument/2006/relationships/hyperlink" Target="https://robu.in/product/1x40-berg-strip-male-connector/?gad_source=1&amp;gad_campaignid=17427802703&amp;gbraid=0AAAAADvLFWdrCMcS-AGCOfXsEDLmvrSDY&amp;gclid=CjwKCAiAmp3LBhAkEiwAJM2JULPDFbKfYzLqzt0q4_V7TTWBIJIezqs-FmJczqkq7IGPuikg4MtKzhoCdLoQAvD_BwE" TargetMode="External"/><Relationship Id="rId46" Type="http://schemas.openxmlformats.org/officeDocument/2006/relationships/hyperlink" Target="https://robu.in/product/pro-range-200pcs-1w-voltage-regulator-diode-kit/" TargetMode="External"/><Relationship Id="rId59" Type="http://schemas.openxmlformats.org/officeDocument/2006/relationships/hyperlink" Target="https://robu.in/product/level-converter-4-channel/" TargetMode="External"/><Relationship Id="rId20" Type="http://schemas.openxmlformats.org/officeDocument/2006/relationships/hyperlink" Target="https://robu.in/product/raspberry-pi-5-model-8gb/" TargetMode="External"/><Relationship Id="rId41" Type="http://schemas.openxmlformats.org/officeDocument/2006/relationships/hyperlink" Target="https://robu.in/product/tl074-hlf-low-noise-jfet-input-quad-operational-amplifier-ic/" TargetMode="External"/><Relationship Id="rId54" Type="http://schemas.openxmlformats.org/officeDocument/2006/relationships/hyperlink" Target="https://robu.in/product/raspberry-pi-camera-module-3/" TargetMode="External"/><Relationship Id="rId62" Type="http://schemas.openxmlformats.org/officeDocument/2006/relationships/hyperlink" Target="https://robu.in/product/standard-12v-2a-power-supply-with-5-5mm-dc-plug-3-pin-input-plug/" TargetMode="External"/><Relationship Id="rId1" Type="http://schemas.openxmlformats.org/officeDocument/2006/relationships/hyperlink" Target="https://robu.in/product/1-month-warranty-1259/?gad_source=1&amp;gad_campaignid=20387462343&amp;gbraid=0AAAAADvLFWeE3kBxLJUw_XL35GsFHO9Oa&amp;gclid=CjwKCAiAmp3LBhAkEiwAJM2JUCbz-O8Pghj5hwKUQIgyWGj1vB3D2VqNCgWQisVKl2r2LJldVXO8HhoCcdUQAvD_BwE" TargetMode="External"/><Relationship Id="rId6" Type="http://schemas.openxmlformats.org/officeDocument/2006/relationships/hyperlink" Target="https://robu.in/product/esun-pla-1-75mm-3d-printing-filament-1kg-black/?gad_source=4&amp;gad_campaignid=17419548856&amp;gbraid=0AAAAADvLFWf2SIDUaccUwHlfAeMs4SyYF&amp;gclid=CjwKCAiAj8LLBhAkEiwAJjbY7-NECSVsZ7ea2a6b3aDF-aLtgYxA0Qr0FyLOfQoKkaSd2MWacT5FqBoCrIwQAvD_BwE" TargetMode="External"/><Relationship Id="rId15" Type="http://schemas.openxmlformats.org/officeDocument/2006/relationships/hyperlink" Target="https://robu.in/product/arduino-nano-board-r3-ch340-chip-with-usb-cable-solderedarduino-nano-r3-usb-cable/" TargetMode="External"/><Relationship Id="rId23" Type="http://schemas.openxmlformats.org/officeDocument/2006/relationships/hyperlink" Target="https://robu.in/product/official-27w-usb-c-pd-power-supply-for-raspberry-pi-5-black/" TargetMode="External"/><Relationship Id="rId28" Type="http://schemas.openxmlformats.org/officeDocument/2006/relationships/hyperlink" Target="https://robu.in/product/htc-830l-digital-multimeter/" TargetMode="External"/><Relationship Id="rId36" Type="http://schemas.openxmlformats.org/officeDocument/2006/relationships/hyperlink" Target="https://robu.in/product/16-pin-dip-ic-socket-base-adaptor-pack-of-5/" TargetMode="External"/><Relationship Id="rId49" Type="http://schemas.openxmlformats.org/officeDocument/2006/relationships/hyperlink" Target="https://robu.in/product/10k-ohm-3pin-15mm-shaft-potentiometer-pack-of-3/" TargetMode="External"/><Relationship Id="rId57" Type="http://schemas.openxmlformats.org/officeDocument/2006/relationships/hyperlink" Target="https://www.amazon.in/BenchRobotics-SimpleFOC-Mini-Robotics-Projects/dp/B0GPND5THL?source=ps-sl-shoppingads-lpcontext&amp;ref_=fplfs&amp;psc=1&amp;smid=ALAX6L91S6ESG&amp;utm_source=chatgpt.com" TargetMode="External"/><Relationship Id="rId10" Type="http://schemas.openxmlformats.org/officeDocument/2006/relationships/hyperlink" Target="https://robu.in/product/micro-usb-a-to-micro-b-cable-120cm/" TargetMode="External"/><Relationship Id="rId31" Type="http://schemas.openxmlformats.org/officeDocument/2006/relationships/hyperlink" Target="https://robu.in/product/5mm-led-diode-light-assorted-kit-diy-leds-set-red-white-yellow-green-blue-including-red-20pcs-white-20pcs-yellow-20pcs-green-20pcs-blue-20pcs/?gad_source=1&amp;gad_campaignid=17413441824&amp;gbraid=0AAAAADvLFWckLdGgBZMyC0qMzd9dw1eGn&amp;gclid=CjwKCAiAj8LLBhAkEiwAJjbY7-MSuLzisT5t_K0uKT_NadLpBazWL2ua4buI0E-O3qnWphgT9lap8hoCOBAQAvD_BwE" TargetMode="External"/><Relationship Id="rId44" Type="http://schemas.openxmlformats.org/officeDocument/2006/relationships/hyperlink" Target="https://robu.in/product/1n4148-1w-zener-diode-pack-of-50/" TargetMode="External"/><Relationship Id="rId52" Type="http://schemas.openxmlformats.org/officeDocument/2006/relationships/hyperlink" Target="https://robu.in/product/pro-range-960pcs-2pf-100nf-ceramic-capacitor-kit/" TargetMode="External"/><Relationship Id="rId60" Type="http://schemas.openxmlformats.org/officeDocument/2006/relationships/hyperlink" Target="https://robu.in/product/mcp2515-can-module-tja1050-receiver-spi-51-single-chip-program-routine-arduino/" TargetMode="External"/><Relationship Id="rId65" Type="http://schemas.openxmlformats.org/officeDocument/2006/relationships/hyperlink" Target="https://robu.in/product/hackrf-one/" TargetMode="External"/><Relationship Id="rId4" Type="http://schemas.openxmlformats.org/officeDocument/2006/relationships/hyperlink" Target="https://robu.in/product/raspberry-pi-micro-sd-card-64gb/" TargetMode="External"/><Relationship Id="rId9" Type="http://schemas.openxmlformats.org/officeDocument/2006/relationships/hyperlink" Target="https://robu.in/product/digilent-basys-3-artix-7-fpga-trainer-board/" TargetMode="External"/><Relationship Id="rId13" Type="http://schemas.openxmlformats.org/officeDocument/2006/relationships/hyperlink" Target="https://robu.in/product/multitec-150b-wire-stripper-and-cutter/?gad_source=4&amp;gad_campaignid=17416544847&amp;gbraid=0AAAAADvLFWfB7Pm_EUpQmPIYcyOR8S6ii&amp;gclid=CjwKCAjw8arQBhB9EiwAfIKdQly9YeCAN69npthTaDRog4sSUOIn8qjc3XWckLu_8IDiHywuvvgLLRoCyCQQAvD_BwE" TargetMode="External"/><Relationship Id="rId18" Type="http://schemas.openxmlformats.org/officeDocument/2006/relationships/hyperlink" Target="https://robu.in/product/arduino-nano-esp32-with-headers/?gad_source=1&amp;gad_campaignid=17413441824&amp;gbraid=0AAAAADvLFWfewQmfuawAoxd1OU_83-E4W&amp;gclid=CjwKCAiA7LzLBhAgEiwAjMWzCLesSTA14i072Bi_Kn8-6xjAm5M2kXR8VBQW3_O3mc4jCqlVvyImgRoC990QAvD_BwE" TargetMode="External"/><Relationship Id="rId39" Type="http://schemas.openxmlformats.org/officeDocument/2006/relationships/hyperlink" Target="https://robu.in/product/150-pcs-mixed-ic-chip-kit-op-amps-oscillat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1"/>
  <sheetViews>
    <sheetView workbookViewId="0"/>
  </sheetViews>
  <sheetFormatPr defaultColWidth="12.6640625" defaultRowHeight="15.75" customHeight="1"/>
  <cols>
    <col min="1" max="1" width="43.77734375" customWidth="1"/>
    <col min="5" max="5" width="17.44140625" customWidth="1"/>
    <col min="9" max="9" width="13.109375" customWidth="1"/>
    <col min="10" max="10" width="25.44140625" customWidth="1"/>
  </cols>
  <sheetData>
    <row r="1" spans="1:28">
      <c r="A1" s="1" t="s">
        <v>0</v>
      </c>
      <c r="B1" s="1" t="s">
        <v>3</v>
      </c>
      <c r="C1" s="1" t="s">
        <v>4</v>
      </c>
      <c r="D1" s="1" t="s">
        <v>5</v>
      </c>
      <c r="E1" s="1" t="s">
        <v>6</v>
      </c>
      <c r="F1" s="1" t="s">
        <v>7</v>
      </c>
      <c r="G1" s="1" t="s">
        <v>8</v>
      </c>
      <c r="H1" s="5"/>
      <c r="I1" s="228" t="s">
        <v>10</v>
      </c>
      <c r="J1" s="226"/>
      <c r="K1" s="227"/>
      <c r="L1" s="5"/>
      <c r="M1" s="5"/>
      <c r="N1" s="5"/>
      <c r="O1" s="5"/>
      <c r="P1" s="5"/>
      <c r="Q1" s="5"/>
      <c r="R1" s="5"/>
      <c r="S1" s="5"/>
      <c r="T1" s="5"/>
      <c r="U1" s="5"/>
      <c r="V1" s="5"/>
      <c r="W1" s="5"/>
      <c r="X1" s="5"/>
      <c r="Y1" s="5"/>
      <c r="Z1" s="5"/>
      <c r="AA1" s="5"/>
      <c r="AB1" s="5"/>
    </row>
    <row r="2" spans="1:28">
      <c r="A2" s="9" t="s">
        <v>11</v>
      </c>
      <c r="B2" s="9">
        <f>'Coding Club'!B3</f>
        <v>165500</v>
      </c>
      <c r="C2" s="9">
        <f>'Coding Club'!B4</f>
        <v>0</v>
      </c>
      <c r="D2" s="9">
        <f t="shared" ref="D2:D14" si="0">B2+C2</f>
        <v>165500</v>
      </c>
      <c r="E2" s="9">
        <v>266740</v>
      </c>
      <c r="F2" s="9" t="e">
        <f t="shared" ref="F2:F10" ca="1" si="1">MINUS(D2,E2)</f>
        <v>#NAME?</v>
      </c>
      <c r="G2" s="9" t="e">
        <f t="shared" ref="G2:G10" ca="1" si="2">DIVIDE(F2,E2)*100</f>
        <v>#NAME?</v>
      </c>
      <c r="H2" s="5"/>
      <c r="I2" s="1" t="s">
        <v>12</v>
      </c>
      <c r="J2" s="1" t="s">
        <v>13</v>
      </c>
      <c r="K2" s="12"/>
      <c r="L2" s="5"/>
      <c r="M2" s="5"/>
      <c r="N2" s="5"/>
      <c r="O2" s="5"/>
      <c r="P2" s="5"/>
      <c r="Q2" s="5"/>
      <c r="R2" s="5"/>
      <c r="S2" s="5"/>
      <c r="T2" s="5"/>
      <c r="U2" s="5"/>
      <c r="V2" s="5"/>
      <c r="W2" s="5"/>
      <c r="X2" s="5"/>
      <c r="Y2" s="5"/>
      <c r="Z2" s="5"/>
      <c r="AA2" s="5"/>
      <c r="AB2" s="5"/>
    </row>
    <row r="3" spans="1:28">
      <c r="A3" s="9" t="s">
        <v>23</v>
      </c>
      <c r="B3" s="9">
        <f>'Space Data Science Club'!B2</f>
        <v>66200</v>
      </c>
      <c r="C3" s="9">
        <f>'Space Data Science Club'!B3</f>
        <v>130304</v>
      </c>
      <c r="D3" s="9">
        <f t="shared" si="0"/>
        <v>196504</v>
      </c>
      <c r="E3" s="9">
        <v>169760</v>
      </c>
      <c r="F3" s="9" t="e">
        <f t="shared" ca="1" si="1"/>
        <v>#NAME?</v>
      </c>
      <c r="G3" s="9" t="e">
        <f t="shared" ca="1" si="2"/>
        <v>#NAME?</v>
      </c>
      <c r="H3" s="5"/>
      <c r="I3" s="9" t="s">
        <v>37</v>
      </c>
      <c r="J3" s="9" t="s">
        <v>38</v>
      </c>
      <c r="K3" s="5"/>
      <c r="L3" s="5"/>
      <c r="M3" s="5"/>
      <c r="N3" s="5"/>
      <c r="O3" s="5"/>
      <c r="P3" s="5"/>
      <c r="Q3" s="5"/>
      <c r="R3" s="5"/>
      <c r="S3" s="5"/>
      <c r="T3" s="5"/>
      <c r="U3" s="5"/>
      <c r="V3" s="5"/>
      <c r="W3" s="5"/>
      <c r="X3" s="5"/>
      <c r="Y3" s="5"/>
      <c r="Z3" s="5"/>
      <c r="AA3" s="5"/>
      <c r="AB3" s="5"/>
    </row>
    <row r="4" spans="1:28">
      <c r="A4" s="9" t="s">
        <v>39</v>
      </c>
      <c r="B4" s="9">
        <f>'AI Club'!B3</f>
        <v>57000</v>
      </c>
      <c r="C4" s="9">
        <f>'AI Club'!B4</f>
        <v>0</v>
      </c>
      <c r="D4" s="9">
        <f t="shared" si="0"/>
        <v>57000</v>
      </c>
      <c r="E4" s="9">
        <v>257600</v>
      </c>
      <c r="F4" s="9" t="e">
        <f t="shared" ca="1" si="1"/>
        <v>#NAME?</v>
      </c>
      <c r="G4" s="9" t="e">
        <f t="shared" ca="1" si="2"/>
        <v>#NAME?</v>
      </c>
      <c r="H4" s="5"/>
      <c r="I4" s="9" t="s">
        <v>49</v>
      </c>
      <c r="J4" s="9" t="s">
        <v>50</v>
      </c>
      <c r="K4" s="5"/>
      <c r="L4" s="5"/>
      <c r="M4" s="5"/>
      <c r="N4" s="5"/>
      <c r="O4" s="5"/>
      <c r="P4" s="5"/>
      <c r="Q4" s="5"/>
      <c r="R4" s="5"/>
      <c r="S4" s="5"/>
      <c r="T4" s="5"/>
      <c r="U4" s="5"/>
      <c r="V4" s="5"/>
      <c r="W4" s="5"/>
      <c r="X4" s="5"/>
      <c r="Y4" s="5"/>
      <c r="Z4" s="5"/>
      <c r="AA4" s="5"/>
      <c r="AB4" s="5"/>
    </row>
    <row r="5" spans="1:28">
      <c r="A5" s="9" t="s">
        <v>56</v>
      </c>
      <c r="B5" s="9">
        <f>'Robotics Club'!B3</f>
        <v>126643</v>
      </c>
      <c r="C5" s="9">
        <f>'Robotics Club'!B4</f>
        <v>265650</v>
      </c>
      <c r="D5" s="9">
        <f t="shared" si="0"/>
        <v>392293</v>
      </c>
      <c r="E5" s="9">
        <v>265296</v>
      </c>
      <c r="F5" s="9" t="e">
        <f t="shared" ca="1" si="1"/>
        <v>#NAME?</v>
      </c>
      <c r="G5" s="9" t="e">
        <f t="shared" ca="1" si="2"/>
        <v>#NAME?</v>
      </c>
      <c r="H5" s="5"/>
      <c r="I5" s="9" t="s">
        <v>63</v>
      </c>
      <c r="J5" s="9" t="s">
        <v>64</v>
      </c>
      <c r="K5" s="5"/>
      <c r="L5" s="5"/>
      <c r="M5" s="5"/>
      <c r="N5" s="5"/>
      <c r="O5" s="5"/>
      <c r="P5" s="5"/>
      <c r="Q5" s="5"/>
      <c r="R5" s="5"/>
      <c r="S5" s="5"/>
      <c r="T5" s="5"/>
      <c r="U5" s="5"/>
      <c r="V5" s="5"/>
      <c r="W5" s="5"/>
      <c r="X5" s="5"/>
      <c r="Y5" s="5"/>
      <c r="Z5" s="5"/>
      <c r="AA5" s="5"/>
      <c r="AB5" s="5"/>
    </row>
    <row r="6" spans="1:28">
      <c r="A6" s="9" t="s">
        <v>67</v>
      </c>
      <c r="B6" s="9">
        <f>'Finance Club'!B3</f>
        <v>55140</v>
      </c>
      <c r="C6" s="9">
        <f>'Finance Club'!B4</f>
        <v>0</v>
      </c>
      <c r="D6" s="9">
        <f t="shared" si="0"/>
        <v>55140</v>
      </c>
      <c r="E6" s="9">
        <v>426300</v>
      </c>
      <c r="F6" s="9" t="e">
        <f t="shared" ca="1" si="1"/>
        <v>#NAME?</v>
      </c>
      <c r="G6" s="9" t="e">
        <f t="shared" ca="1" si="2"/>
        <v>#NAME?</v>
      </c>
      <c r="H6" s="5"/>
      <c r="I6" s="9" t="s">
        <v>72</v>
      </c>
      <c r="J6" s="9" t="s">
        <v>73</v>
      </c>
      <c r="K6" s="5"/>
      <c r="L6" s="5"/>
      <c r="M6" s="5"/>
      <c r="N6" s="5"/>
      <c r="O6" s="5"/>
      <c r="P6" s="5"/>
      <c r="Q6" s="5"/>
      <c r="R6" s="5"/>
      <c r="S6" s="5"/>
      <c r="T6" s="5"/>
      <c r="U6" s="5"/>
      <c r="V6" s="5"/>
      <c r="W6" s="5"/>
      <c r="X6" s="5"/>
      <c r="Y6" s="5"/>
      <c r="Z6" s="5"/>
      <c r="AA6" s="5"/>
      <c r="AB6" s="5"/>
    </row>
    <row r="7" spans="1:28">
      <c r="A7" s="9" t="s">
        <v>74</v>
      </c>
      <c r="B7" s="9">
        <f>'Ingene Motorsport'!B3</f>
        <v>53550</v>
      </c>
      <c r="C7" s="9">
        <f>'Ingene Motorsport'!B4</f>
        <v>22000</v>
      </c>
      <c r="D7" s="9">
        <f t="shared" si="0"/>
        <v>75550</v>
      </c>
      <c r="E7" s="9">
        <v>363000</v>
      </c>
      <c r="F7" s="9" t="e">
        <f t="shared" ca="1" si="1"/>
        <v>#NAME?</v>
      </c>
      <c r="G7" s="9" t="e">
        <f t="shared" ca="1" si="2"/>
        <v>#NAME?</v>
      </c>
      <c r="H7" s="5"/>
      <c r="I7" s="9" t="s">
        <v>78</v>
      </c>
      <c r="J7" s="9" t="s">
        <v>79</v>
      </c>
      <c r="K7" s="5"/>
      <c r="L7" s="5"/>
      <c r="M7" s="5"/>
      <c r="N7" s="5"/>
      <c r="O7" s="5"/>
      <c r="P7" s="5"/>
      <c r="Q7" s="5"/>
      <c r="R7" s="5"/>
      <c r="S7" s="5"/>
      <c r="T7" s="5"/>
      <c r="U7" s="5"/>
      <c r="V7" s="5"/>
      <c r="W7" s="5"/>
      <c r="X7" s="5"/>
      <c r="Y7" s="5"/>
      <c r="Z7" s="5"/>
      <c r="AA7" s="5"/>
      <c r="AB7" s="5"/>
    </row>
    <row r="8" spans="1:28">
      <c r="A8" s="9" t="s">
        <v>80</v>
      </c>
      <c r="B8" s="9">
        <f>'Abhikalpa Design Club'!B3</f>
        <v>44000</v>
      </c>
      <c r="C8" s="9">
        <f>'Abhikalpa Design Club'!B4</f>
        <v>43826</v>
      </c>
      <c r="D8" s="9">
        <f t="shared" si="0"/>
        <v>87826</v>
      </c>
      <c r="E8" s="9">
        <v>124400</v>
      </c>
      <c r="F8" s="9" t="e">
        <f t="shared" ca="1" si="1"/>
        <v>#NAME?</v>
      </c>
      <c r="G8" s="9" t="e">
        <f t="shared" ca="1" si="2"/>
        <v>#NAME?</v>
      </c>
      <c r="H8" s="5"/>
      <c r="I8" s="9" t="s">
        <v>83</v>
      </c>
      <c r="J8" s="9" t="s">
        <v>84</v>
      </c>
      <c r="K8" s="5"/>
      <c r="L8" s="5"/>
      <c r="M8" s="5"/>
      <c r="N8" s="5"/>
      <c r="O8" s="5"/>
      <c r="P8" s="5"/>
      <c r="Q8" s="5"/>
      <c r="R8" s="5"/>
      <c r="S8" s="5"/>
      <c r="T8" s="5"/>
      <c r="U8" s="5"/>
      <c r="V8" s="5"/>
      <c r="W8" s="5"/>
      <c r="X8" s="5"/>
      <c r="Y8" s="5"/>
      <c r="Z8" s="5"/>
      <c r="AA8" s="5"/>
      <c r="AB8" s="5"/>
    </row>
    <row r="9" spans="1:28">
      <c r="A9" s="9" t="s">
        <v>85</v>
      </c>
      <c r="B9" s="18">
        <f>'Astronomy Club'!B3</f>
        <v>45000</v>
      </c>
      <c r="C9" s="18">
        <f>'Astronomy Club'!B4</f>
        <v>61077</v>
      </c>
      <c r="D9" s="18">
        <f t="shared" si="0"/>
        <v>106077</v>
      </c>
      <c r="E9" s="9">
        <v>161561</v>
      </c>
      <c r="F9" s="18" t="e">
        <f t="shared" ca="1" si="1"/>
        <v>#NAME?</v>
      </c>
      <c r="G9" s="9" t="e">
        <f t="shared" ca="1" si="2"/>
        <v>#NAME?</v>
      </c>
      <c r="H9" s="5"/>
      <c r="I9" s="9" t="s">
        <v>90</v>
      </c>
      <c r="J9" s="9" t="s">
        <v>91</v>
      </c>
      <c r="K9" s="5"/>
      <c r="L9" s="5"/>
      <c r="M9" s="5"/>
      <c r="N9" s="5"/>
      <c r="O9" s="5"/>
      <c r="P9" s="5"/>
      <c r="Q9" s="5"/>
      <c r="R9" s="5"/>
      <c r="S9" s="5"/>
      <c r="T9" s="5"/>
      <c r="U9" s="5"/>
      <c r="V9" s="5"/>
      <c r="W9" s="5"/>
      <c r="X9" s="5"/>
      <c r="Y9" s="5"/>
      <c r="Z9" s="5"/>
      <c r="AA9" s="5"/>
      <c r="AB9" s="5"/>
    </row>
    <row r="10" spans="1:28">
      <c r="A10" s="9" t="s">
        <v>93</v>
      </c>
      <c r="B10" s="21">
        <f>'Electronics Club'!B3</f>
        <v>111692</v>
      </c>
      <c r="C10" s="21" t="e">
        <f ca="1">'Electronics Club'!B4</f>
        <v>#NAME?</v>
      </c>
      <c r="D10" s="21" t="e">
        <f t="shared" ca="1" si="0"/>
        <v>#NAME?</v>
      </c>
      <c r="E10" s="22">
        <v>631306</v>
      </c>
      <c r="F10" s="21" t="e">
        <f t="shared" ca="1" si="1"/>
        <v>#NAME?</v>
      </c>
      <c r="G10" s="9" t="e">
        <f t="shared" ca="1" si="2"/>
        <v>#NAME?</v>
      </c>
      <c r="H10" s="5"/>
      <c r="I10" s="9" t="s">
        <v>98</v>
      </c>
      <c r="J10" s="9" t="s">
        <v>100</v>
      </c>
      <c r="K10" s="5"/>
      <c r="L10" s="5"/>
      <c r="M10" s="5"/>
      <c r="N10" s="5"/>
      <c r="O10" s="5"/>
      <c r="P10" s="5"/>
      <c r="Q10" s="5"/>
      <c r="R10" s="5"/>
      <c r="S10" s="5"/>
      <c r="T10" s="5"/>
      <c r="U10" s="5"/>
      <c r="V10" s="5"/>
      <c r="W10" s="5"/>
      <c r="X10" s="5"/>
      <c r="Y10" s="5"/>
      <c r="Z10" s="5"/>
      <c r="AA10" s="5"/>
      <c r="AB10" s="5"/>
    </row>
    <row r="11" spans="1:28">
      <c r="A11" s="9" t="s">
        <v>102</v>
      </c>
      <c r="B11" s="9">
        <f>'SoI26'!F21</f>
        <v>100000</v>
      </c>
      <c r="C11" s="9">
        <v>0</v>
      </c>
      <c r="D11" s="9">
        <f t="shared" si="0"/>
        <v>100000</v>
      </c>
      <c r="E11" s="229" t="s">
        <v>104</v>
      </c>
      <c r="F11" s="226"/>
      <c r="G11" s="227"/>
      <c r="H11" s="5"/>
      <c r="I11" s="9" t="s">
        <v>106</v>
      </c>
      <c r="J11" s="9" t="s">
        <v>107</v>
      </c>
      <c r="K11" s="5"/>
      <c r="L11" s="5"/>
      <c r="M11" s="5"/>
      <c r="N11" s="5"/>
      <c r="O11" s="5"/>
      <c r="P11" s="5"/>
      <c r="Q11" s="5"/>
      <c r="R11" s="5"/>
      <c r="S11" s="5"/>
      <c r="T11" s="5"/>
      <c r="U11" s="5"/>
      <c r="V11" s="5"/>
      <c r="W11" s="5"/>
      <c r="X11" s="5"/>
      <c r="Y11" s="5"/>
      <c r="Z11" s="5"/>
      <c r="AA11" s="5"/>
      <c r="AB11" s="5"/>
    </row>
    <row r="12" spans="1:28">
      <c r="A12" s="9" t="s">
        <v>109</v>
      </c>
      <c r="B12" s="9">
        <f>InterIIT!D11</f>
        <v>1979850</v>
      </c>
      <c r="C12" s="9">
        <v>0</v>
      </c>
      <c r="D12" s="9">
        <f t="shared" si="0"/>
        <v>1979850</v>
      </c>
      <c r="E12" s="9">
        <v>1436540</v>
      </c>
      <c r="F12" s="9" t="e">
        <f t="shared" ref="F12:F13" ca="1" si="3">MINUS(D12,E12)</f>
        <v>#NAME?</v>
      </c>
      <c r="G12" s="9" t="e">
        <f t="shared" ref="G12:G13" ca="1" si="4">DIVIDE(F12,E12)*100</f>
        <v>#NAME?</v>
      </c>
      <c r="H12" s="5"/>
      <c r="I12" s="9" t="s">
        <v>111</v>
      </c>
      <c r="J12" s="9" t="s">
        <v>112</v>
      </c>
      <c r="K12" s="5"/>
      <c r="L12" s="5"/>
      <c r="M12" s="5"/>
      <c r="N12" s="5"/>
      <c r="O12" s="5"/>
      <c r="P12" s="5"/>
      <c r="Q12" s="5"/>
      <c r="R12" s="5"/>
      <c r="S12" s="5"/>
      <c r="T12" s="5"/>
      <c r="U12" s="5"/>
      <c r="V12" s="5"/>
      <c r="W12" s="5"/>
      <c r="X12" s="5"/>
      <c r="Y12" s="5"/>
      <c r="Z12" s="5"/>
      <c r="AA12" s="5"/>
      <c r="AB12" s="5"/>
    </row>
    <row r="13" spans="1:28">
      <c r="A13" s="9" t="s">
        <v>113</v>
      </c>
      <c r="B13" s="21">
        <f>PARSEC!D12</f>
        <v>2000000</v>
      </c>
      <c r="C13" s="9">
        <v>0</v>
      </c>
      <c r="D13" s="21">
        <f t="shared" si="0"/>
        <v>2000000</v>
      </c>
      <c r="E13" s="9">
        <v>1200000</v>
      </c>
      <c r="F13" s="21" t="e">
        <f t="shared" ca="1" si="3"/>
        <v>#NAME?</v>
      </c>
      <c r="G13" s="9" t="e">
        <f t="shared" ca="1" si="4"/>
        <v>#NAME?</v>
      </c>
      <c r="H13" s="5"/>
      <c r="I13" s="9" t="s">
        <v>119</v>
      </c>
      <c r="J13" s="9" t="s">
        <v>120</v>
      </c>
      <c r="K13" s="5"/>
      <c r="L13" s="5"/>
      <c r="M13" s="5"/>
      <c r="N13" s="5"/>
      <c r="O13" s="5"/>
      <c r="P13" s="5"/>
      <c r="Q13" s="5"/>
      <c r="R13" s="5"/>
      <c r="S13" s="5"/>
      <c r="T13" s="5"/>
      <c r="U13" s="5"/>
      <c r="V13" s="5"/>
      <c r="W13" s="5"/>
      <c r="X13" s="5"/>
      <c r="Y13" s="5"/>
      <c r="Z13" s="5"/>
      <c r="AA13" s="5"/>
      <c r="AB13" s="5"/>
    </row>
    <row r="14" spans="1:28">
      <c r="A14" s="9" t="s">
        <v>122</v>
      </c>
      <c r="B14" s="21">
        <f>ClubMerch!E17</f>
        <v>304500</v>
      </c>
      <c r="C14" s="9">
        <v>0</v>
      </c>
      <c r="D14" s="21">
        <f t="shared" si="0"/>
        <v>304500</v>
      </c>
      <c r="E14" s="229" t="s">
        <v>104</v>
      </c>
      <c r="F14" s="226"/>
      <c r="G14" s="227"/>
      <c r="H14" s="5"/>
      <c r="I14" s="9" t="s">
        <v>124</v>
      </c>
      <c r="J14" s="9" t="s">
        <v>125</v>
      </c>
      <c r="K14" s="5"/>
      <c r="L14" s="5"/>
      <c r="M14" s="5"/>
      <c r="N14" s="5"/>
      <c r="O14" s="5"/>
      <c r="P14" s="5"/>
      <c r="Q14" s="5"/>
      <c r="R14" s="5"/>
      <c r="S14" s="5"/>
      <c r="T14" s="5"/>
      <c r="U14" s="5"/>
      <c r="V14" s="5"/>
      <c r="W14" s="5"/>
      <c r="X14" s="5"/>
      <c r="Y14" s="5"/>
      <c r="Z14" s="5"/>
      <c r="AA14" s="5"/>
      <c r="AB14" s="5"/>
    </row>
    <row r="15" spans="1:28">
      <c r="A15" s="230" t="s">
        <v>5</v>
      </c>
      <c r="B15" s="226"/>
      <c r="C15" s="227"/>
      <c r="D15" s="1" t="e">
        <f ca="1">SUM(D2:D14)</f>
        <v>#NAME?</v>
      </c>
      <c r="E15" s="1">
        <f>SUM(E2:E13)</f>
        <v>5302503</v>
      </c>
      <c r="F15" s="1" t="e">
        <f ca="1">MINUS(D15,E15)</f>
        <v>#NAME?</v>
      </c>
      <c r="G15" s="1" t="e">
        <f ca="1">DIVIDE(F15,E15)*100</f>
        <v>#NAME?</v>
      </c>
      <c r="H15" s="5"/>
      <c r="I15" s="9" t="s">
        <v>133</v>
      </c>
      <c r="J15" s="9" t="s">
        <v>134</v>
      </c>
      <c r="K15" s="5"/>
      <c r="L15" s="5"/>
      <c r="M15" s="5"/>
      <c r="N15" s="5"/>
      <c r="O15" s="5"/>
      <c r="P15" s="5"/>
      <c r="Q15" s="5"/>
      <c r="R15" s="5"/>
      <c r="S15" s="5"/>
      <c r="T15" s="5"/>
      <c r="U15" s="5"/>
      <c r="V15" s="5"/>
      <c r="W15" s="5"/>
      <c r="X15" s="5"/>
      <c r="Y15" s="5"/>
      <c r="Z15" s="5"/>
      <c r="AA15" s="5"/>
      <c r="AB15" s="5"/>
    </row>
    <row r="16" spans="1:28">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spans="1:28">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spans="1:2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spans="1:28">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spans="1:28">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spans="1:28">
      <c r="A21" s="5"/>
      <c r="B21" s="5"/>
      <c r="C21" s="5"/>
      <c r="D21" s="27"/>
      <c r="E21" s="5"/>
      <c r="F21" s="5"/>
      <c r="G21" s="5"/>
      <c r="H21" s="5"/>
      <c r="I21" s="5"/>
      <c r="J21" s="5"/>
      <c r="K21" s="5"/>
      <c r="L21" s="5"/>
      <c r="M21" s="5"/>
      <c r="N21" s="5"/>
      <c r="O21" s="5"/>
      <c r="P21" s="5"/>
      <c r="Q21" s="5"/>
      <c r="R21" s="5"/>
      <c r="S21" s="5"/>
      <c r="T21" s="5"/>
      <c r="U21" s="5"/>
      <c r="V21" s="5"/>
      <c r="W21" s="5"/>
      <c r="X21" s="5"/>
      <c r="Y21" s="5"/>
      <c r="Z21" s="5"/>
      <c r="AA21" s="5"/>
      <c r="AB21" s="5"/>
    </row>
    <row r="22" spans="1:28">
      <c r="A22" s="5"/>
      <c r="B22" s="5"/>
      <c r="C22" s="5"/>
      <c r="D22" s="28"/>
      <c r="E22" s="5"/>
      <c r="F22" s="5"/>
      <c r="G22" s="5"/>
      <c r="H22" s="5"/>
      <c r="I22" s="5"/>
      <c r="J22" s="5"/>
      <c r="K22" s="5"/>
      <c r="L22" s="5"/>
      <c r="M22" s="5"/>
      <c r="N22" s="5"/>
      <c r="O22" s="5"/>
      <c r="P22" s="5"/>
      <c r="Q22" s="5"/>
      <c r="R22" s="5"/>
      <c r="S22" s="5"/>
      <c r="T22" s="5"/>
      <c r="U22" s="5"/>
      <c r="V22" s="5"/>
      <c r="W22" s="5"/>
      <c r="X22" s="5"/>
      <c r="Y22" s="5"/>
      <c r="Z22" s="5"/>
      <c r="AA22" s="5"/>
      <c r="AB22" s="5"/>
    </row>
    <row r="23" spans="1:28">
      <c r="A23" s="5"/>
      <c r="B23" s="5"/>
      <c r="C23" s="5"/>
      <c r="D23" s="28"/>
      <c r="E23" s="5"/>
      <c r="F23" s="5"/>
      <c r="G23" s="5"/>
      <c r="H23" s="5"/>
      <c r="I23" s="5"/>
      <c r="J23" s="5"/>
      <c r="K23" s="5"/>
      <c r="L23" s="5"/>
      <c r="M23" s="5"/>
      <c r="N23" s="5"/>
      <c r="O23" s="5"/>
      <c r="P23" s="5"/>
      <c r="Q23" s="5"/>
      <c r="R23" s="5"/>
      <c r="S23" s="5"/>
      <c r="T23" s="5"/>
      <c r="U23" s="5"/>
      <c r="V23" s="5"/>
      <c r="W23" s="5"/>
      <c r="X23" s="5"/>
      <c r="Y23" s="5"/>
      <c r="Z23" s="5"/>
      <c r="AA23" s="5"/>
      <c r="AB23" s="5"/>
    </row>
    <row r="24" spans="1:28">
      <c r="A24" s="5"/>
      <c r="B24" s="5"/>
      <c r="C24" s="5"/>
      <c r="D24" s="27"/>
      <c r="E24" s="5"/>
      <c r="F24" s="5"/>
      <c r="G24" s="5"/>
      <c r="H24" s="5"/>
      <c r="I24" s="5"/>
      <c r="J24" s="5"/>
      <c r="K24" s="5"/>
      <c r="L24" s="5"/>
      <c r="M24" s="5"/>
      <c r="N24" s="5"/>
      <c r="O24" s="5"/>
      <c r="P24" s="5"/>
      <c r="Q24" s="5"/>
      <c r="R24" s="5"/>
      <c r="S24" s="5"/>
      <c r="T24" s="5"/>
      <c r="U24" s="5"/>
      <c r="V24" s="5"/>
      <c r="W24" s="5"/>
      <c r="X24" s="5"/>
      <c r="Y24" s="5"/>
      <c r="Z24" s="5"/>
      <c r="AA24" s="5"/>
      <c r="AB24" s="5"/>
    </row>
    <row r="25" spans="1:28">
      <c r="A25" s="5"/>
      <c r="B25" s="5"/>
      <c r="C25" s="5"/>
      <c r="D25" s="27"/>
      <c r="E25" s="5"/>
      <c r="F25" s="5"/>
      <c r="G25" s="5"/>
      <c r="H25" s="5"/>
      <c r="I25" s="5"/>
      <c r="J25" s="5"/>
      <c r="K25" s="5"/>
      <c r="L25" s="5"/>
      <c r="M25" s="5"/>
      <c r="N25" s="5"/>
      <c r="O25" s="5"/>
      <c r="P25" s="5"/>
      <c r="Q25" s="5"/>
      <c r="R25" s="5"/>
      <c r="S25" s="5"/>
      <c r="T25" s="5"/>
      <c r="U25" s="5"/>
      <c r="V25" s="5"/>
      <c r="W25" s="5"/>
      <c r="X25" s="5"/>
      <c r="Y25" s="5"/>
      <c r="Z25" s="5"/>
      <c r="AA25" s="5"/>
      <c r="AB25" s="5"/>
    </row>
    <row r="26" spans="1:28">
      <c r="A26" s="5"/>
      <c r="B26" s="5"/>
      <c r="C26" s="5"/>
      <c r="D26" s="27"/>
      <c r="E26" s="5"/>
      <c r="F26" s="5"/>
      <c r="G26" s="5"/>
      <c r="H26" s="5"/>
      <c r="I26" s="5"/>
      <c r="J26" s="5"/>
      <c r="K26" s="5"/>
      <c r="L26" s="5"/>
      <c r="M26" s="5"/>
      <c r="N26" s="5"/>
      <c r="O26" s="5"/>
      <c r="P26" s="5"/>
      <c r="Q26" s="5"/>
      <c r="R26" s="5"/>
      <c r="S26" s="5"/>
      <c r="T26" s="5"/>
      <c r="U26" s="5"/>
      <c r="V26" s="5"/>
      <c r="W26" s="5"/>
      <c r="X26" s="5"/>
      <c r="Y26" s="5"/>
      <c r="Z26" s="5"/>
      <c r="AA26" s="5"/>
      <c r="AB26" s="5"/>
    </row>
    <row r="27" spans="1:28">
      <c r="A27" s="5"/>
      <c r="B27" s="5"/>
      <c r="C27" s="5"/>
      <c r="D27" s="28"/>
      <c r="E27" s="5"/>
      <c r="F27" s="5"/>
      <c r="G27" s="5"/>
      <c r="H27" s="5"/>
      <c r="I27" s="5"/>
      <c r="J27" s="5"/>
      <c r="K27" s="5"/>
      <c r="L27" s="5"/>
      <c r="M27" s="5"/>
      <c r="N27" s="5"/>
      <c r="O27" s="5"/>
      <c r="P27" s="5"/>
      <c r="Q27" s="5"/>
      <c r="R27" s="5"/>
      <c r="S27" s="5"/>
      <c r="T27" s="5"/>
      <c r="U27" s="5"/>
      <c r="V27" s="5"/>
      <c r="W27" s="5"/>
      <c r="X27" s="5"/>
      <c r="Y27" s="5"/>
      <c r="Z27" s="5"/>
      <c r="AA27" s="5"/>
      <c r="AB27" s="5"/>
    </row>
    <row r="28" spans="1:28">
      <c r="A28" s="5"/>
      <c r="B28" s="5"/>
      <c r="C28" s="5"/>
      <c r="D28" s="27"/>
      <c r="E28" s="5"/>
      <c r="F28" s="5"/>
      <c r="G28" s="5"/>
      <c r="H28" s="5"/>
      <c r="I28" s="5"/>
      <c r="J28" s="5"/>
      <c r="K28" s="5"/>
      <c r="L28" s="5"/>
      <c r="M28" s="5"/>
      <c r="N28" s="5"/>
      <c r="O28" s="5"/>
      <c r="P28" s="5"/>
      <c r="Q28" s="5"/>
      <c r="R28" s="5"/>
      <c r="S28" s="5"/>
      <c r="T28" s="5"/>
      <c r="U28" s="5"/>
      <c r="V28" s="5"/>
      <c r="W28" s="5"/>
      <c r="X28" s="5"/>
      <c r="Y28" s="5"/>
      <c r="Z28" s="5"/>
      <c r="AA28" s="5"/>
      <c r="AB28" s="5"/>
    </row>
    <row r="29" spans="1:28">
      <c r="A29" s="5"/>
      <c r="B29" s="5"/>
      <c r="C29" s="5"/>
      <c r="D29" s="27"/>
      <c r="E29" s="5"/>
      <c r="F29" s="5"/>
      <c r="G29" s="5"/>
      <c r="H29" s="5"/>
      <c r="I29" s="5"/>
      <c r="J29" s="5"/>
      <c r="K29" s="5"/>
      <c r="L29" s="5"/>
      <c r="M29" s="5"/>
      <c r="N29" s="5"/>
      <c r="O29" s="5"/>
      <c r="P29" s="5"/>
      <c r="Q29" s="5"/>
      <c r="R29" s="5"/>
      <c r="S29" s="5"/>
      <c r="T29" s="5"/>
      <c r="U29" s="5"/>
      <c r="V29" s="5"/>
      <c r="W29" s="5"/>
      <c r="X29" s="5"/>
      <c r="Y29" s="5"/>
      <c r="Z29" s="5"/>
      <c r="AA29" s="5"/>
      <c r="AB29" s="5"/>
    </row>
    <row r="30" spans="1:28">
      <c r="A30" s="5"/>
      <c r="B30" s="5"/>
      <c r="C30" s="5"/>
      <c r="D30" s="27"/>
      <c r="E30" s="5"/>
      <c r="F30" s="5"/>
      <c r="G30" s="5"/>
      <c r="H30" s="5"/>
      <c r="I30" s="5"/>
      <c r="J30" s="5"/>
      <c r="K30" s="5"/>
      <c r="L30" s="5"/>
      <c r="M30" s="5"/>
      <c r="N30" s="5"/>
      <c r="O30" s="5"/>
      <c r="P30" s="5"/>
      <c r="Q30" s="5"/>
      <c r="R30" s="5"/>
      <c r="S30" s="5"/>
      <c r="T30" s="5"/>
      <c r="U30" s="5"/>
      <c r="V30" s="5"/>
      <c r="W30" s="5"/>
      <c r="X30" s="5"/>
      <c r="Y30" s="5"/>
      <c r="Z30" s="5"/>
      <c r="AA30" s="5"/>
      <c r="AB30" s="5"/>
    </row>
    <row r="31" spans="1:28">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1:28">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1:28">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1:28">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1:28">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1:28">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spans="1:28">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spans="1:2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spans="1:28">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spans="1:28">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spans="1:28">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spans="1:28">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spans="1:28">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spans="1:28">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spans="1:28">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spans="1:28">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spans="1:28">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spans="1:2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spans="1:28">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spans="1:28">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spans="1:28">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spans="1:28">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spans="1:28">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spans="1:28">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spans="1:28">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spans="1:28">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spans="1:28">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spans="1:2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spans="1:28">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spans="1:28">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spans="1:28">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spans="1:28">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spans="1:28">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spans="1:28">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spans="1:28">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spans="1:28">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spans="1:28">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spans="1:2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spans="1:28">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spans="1:28">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spans="1:28">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spans="1:28">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spans="1:28">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spans="1:28">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spans="1:28">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spans="1:28">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spans="1:28">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spans="1:2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spans="1:28">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spans="1:28">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spans="1:28">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spans="1:28">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spans="1:28">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spans="1:28">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spans="1:28">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spans="1:28">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spans="1:28">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spans="1:2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spans="1:28">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spans="1:28">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spans="1:28">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spans="1:28">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spans="1:28">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spans="1:28">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spans="1:28">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spans="1:28">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spans="1:28">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spans="1:2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spans="1:28">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spans="1:28">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spans="1:28">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spans="1:28">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spans="1:28">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spans="1:28">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spans="1:28">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spans="1:28">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spans="1:28">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spans="1:2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spans="1:28">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spans="1:28">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spans="1:28">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spans="1:28">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spans="1:28">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spans="1:28">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spans="1:28">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spans="1:28">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spans="1:28">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spans="1:2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spans="1:28">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spans="1:28">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spans="1:28">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spans="1:28">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spans="1:28">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spans="1:28">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spans="1:28">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spans="1:28">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spans="1:28">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spans="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spans="1:28">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spans="1:28">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spans="1:28">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spans="1:28">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spans="1:28">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spans="1:28">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spans="1:28">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spans="1:28">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spans="1:28">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spans="1:2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spans="1:28">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spans="1:28">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spans="1:28">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spans="1:28">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spans="1:28">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spans="1:28">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spans="1:28">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spans="1:28">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spans="1:28">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spans="1:2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spans="1:28">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spans="1:28">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spans="1:28">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spans="1:28">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spans="1:28">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spans="1:28">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spans="1:28">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spans="1:28">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spans="1:28">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spans="1:2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spans="1:28">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spans="1:28">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spans="1:28">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spans="1:28">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spans="1:28">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spans="1:28">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spans="1:28">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spans="1:28">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spans="1:28">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spans="1:2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spans="1:28">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spans="1:28">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spans="1:28">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spans="1:28">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spans="1:28">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spans="1:28">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spans="1:28">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spans="1:28">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spans="1:28">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spans="1:2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spans="1:28">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spans="1:28">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spans="1:28">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spans="1:28">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spans="1:28">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spans="1:28">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spans="1:28">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spans="1:28">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spans="1:28">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spans="1:2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spans="1:28">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spans="1:28">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spans="1:28">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spans="1:28">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spans="1:28">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spans="1:28">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spans="1:28">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spans="1:28">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spans="1:28">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spans="1:2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spans="1:28">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spans="1:28">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spans="1:28">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spans="1:28">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spans="1:28">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spans="1:28">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spans="1:28">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spans="1:28">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spans="1:28">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spans="1:2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spans="1:28">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spans="1:28">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spans="1:28">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spans="1:28">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spans="1:28">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spans="1:28">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spans="1:28">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spans="1:28">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spans="1:28">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spans="1:2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spans="1:28">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spans="1:28">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spans="1:28">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spans="1:28">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spans="1:28">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spans="1:28">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spans="1:28">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spans="1:28">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spans="1:28">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spans="1: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spans="1:28">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spans="1:28">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spans="1:28">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spans="1:28">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spans="1:28">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spans="1:28">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spans="1:28">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spans="1:28">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spans="1:28">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spans="1:2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spans="1:28">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spans="1:28">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spans="1:28">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spans="1:28">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spans="1:28">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spans="1:28">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spans="1:28">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spans="1:28">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spans="1:28">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spans="1:2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spans="1:28">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spans="1:28">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spans="1:28">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spans="1:28">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spans="1:28">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spans="1:28">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spans="1:28">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spans="1:28">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spans="1:28">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spans="1:2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spans="1:28">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spans="1:28">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spans="1:28">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spans="1:28">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spans="1:28">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spans="1:28">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spans="1:28">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spans="1:28">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spans="1:28">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spans="1:2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spans="1:28">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spans="1:28">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spans="1:28">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spans="1:28">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spans="1:28">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spans="1:28">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spans="1:28">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spans="1:28">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spans="1:28">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spans="1:2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spans="1:28">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spans="1:28">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spans="1:28">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spans="1:28">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spans="1:28">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spans="1:28">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spans="1:28">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spans="1:28">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spans="1:28">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spans="1:2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spans="1:28">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spans="1:28">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spans="1:28">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spans="1:28">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spans="1:28">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spans="1:28">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spans="1:28">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spans="1:28">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spans="1:28">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spans="1:2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spans="1:28">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spans="1:28">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spans="1:28">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spans="1:28">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spans="1:28">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spans="1:28">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spans="1:28">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spans="1:28">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spans="1:28">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spans="1:2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spans="1:28">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spans="1:28">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spans="1:28">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spans="1:28">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spans="1:28">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spans="1:28">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spans="1:28">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spans="1:28">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spans="1:28">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spans="1:2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spans="1:28">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spans="1:28">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spans="1:28">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spans="1:28">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spans="1:28">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spans="1:28">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spans="1:28">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spans="1:28">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spans="1:28">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spans="1: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spans="1:28">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spans="1:28">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spans="1:28">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spans="1:28">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spans="1:28">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spans="1:28">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spans="1:28">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spans="1:28">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spans="1:28">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spans="1:2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spans="1:28">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spans="1:28">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spans="1:28">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spans="1:28">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spans="1:28">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spans="1:28">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spans="1:28">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spans="1:28">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spans="1:28">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spans="1:2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spans="1:28">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spans="1:28">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spans="1:28">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spans="1:28">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spans="1:28">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spans="1:28">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spans="1:28">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spans="1:28">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spans="1:28">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spans="1:2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spans="1:28">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spans="1:28">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spans="1:28">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spans="1:28">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spans="1:28">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spans="1:28">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spans="1:28">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spans="1:28">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spans="1:28">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spans="1:2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spans="1:28">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spans="1:28">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spans="1:28">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spans="1:28">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spans="1:28">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spans="1:28">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spans="1:28">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spans="1:28">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spans="1:28">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spans="1:2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spans="1:28">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spans="1:28">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spans="1:28">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spans="1:28">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spans="1:28">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spans="1:28">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spans="1:28">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spans="1:28">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spans="1:28">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spans="1:2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spans="1:28">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spans="1:28">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spans="1:28">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spans="1:28">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spans="1:28">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spans="1:28">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spans="1:28">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spans="1:28">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spans="1:28">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spans="1:2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spans="1:28">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spans="1:28">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spans="1:28">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spans="1:28">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spans="1:28">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spans="1:28">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spans="1:28">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spans="1:28">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spans="1:28">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spans="1:2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spans="1:28">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spans="1:28">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spans="1:28">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spans="1:28">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spans="1:28">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spans="1:28">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spans="1:28">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spans="1:28">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spans="1:28">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spans="1:2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spans="1:28">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spans="1:28">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spans="1:28">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spans="1:28">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spans="1:28">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spans="1:28">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spans="1:28">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spans="1:28">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spans="1:28">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spans="1: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spans="1:28">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spans="1:28">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spans="1:28">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spans="1:28">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spans="1:28">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spans="1:28">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spans="1:28">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spans="1:28">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spans="1:28">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spans="1:2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spans="1:28">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spans="1:28">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spans="1:28">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spans="1:28">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spans="1:28">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spans="1:28">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spans="1:28">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spans="1:28">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spans="1:28">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spans="1:2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spans="1:28">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spans="1:28">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spans="1:28">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spans="1:28">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spans="1:28">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spans="1:28">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spans="1:28">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spans="1:28">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spans="1:28">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spans="1:2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spans="1:28">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spans="1:28">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spans="1:28">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spans="1:28">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spans="1:28">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spans="1:28">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spans="1:28">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spans="1:28">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spans="1:28">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spans="1:2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spans="1:28">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spans="1:28">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spans="1:28">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spans="1:28">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spans="1:28">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spans="1:28">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spans="1:28">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spans="1:28">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spans="1:28">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spans="1:2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spans="1:28">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spans="1:28">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spans="1:28">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spans="1:28">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spans="1:28">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spans="1:28">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spans="1:28">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spans="1:28">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spans="1:28">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spans="1:2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spans="1:28">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spans="1:28">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spans="1:28">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spans="1:28">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spans="1:28">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spans="1:28">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spans="1:28">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spans="1:28">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spans="1:28">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spans="1:2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spans="1:28">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spans="1:28">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spans="1:28">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spans="1:28">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spans="1:28">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spans="1:28">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spans="1:28">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spans="1:28">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spans="1:28">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spans="1:2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spans="1:28">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spans="1:28">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spans="1:28">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spans="1:28">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spans="1:28">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spans="1:28">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spans="1:28">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spans="1:28">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spans="1:28">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spans="1:2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spans="1:28">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spans="1:28">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spans="1:28">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spans="1:28">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spans="1:28">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spans="1:28">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spans="1:28">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spans="1:28">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spans="1:28">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spans="1: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spans="1:28">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spans="1:28">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spans="1:28">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spans="1:28">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spans="1:28">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spans="1:28">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spans="1:28">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spans="1:28">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spans="1:28">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spans="1:2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spans="1:28">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spans="1:28">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spans="1:28">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spans="1:28">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spans="1:28">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spans="1:28">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spans="1:28">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spans="1:28">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spans="1:28">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spans="1:2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spans="1:28">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spans="1:28">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spans="1:28">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spans="1:28">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spans="1:28">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spans="1:28">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spans="1:28">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spans="1:28">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spans="1:28">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spans="1:2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spans="1:28">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spans="1:28">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spans="1:28">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spans="1:28">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spans="1:28">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spans="1:28">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spans="1:28">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spans="1:28">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spans="1:28">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spans="1:2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spans="1:28">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spans="1:28">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spans="1:28">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spans="1:28">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spans="1:28">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spans="1:28">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spans="1:28">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spans="1:28">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spans="1:28">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spans="1:2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spans="1:28">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spans="1:28">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spans="1:28">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spans="1:28">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spans="1:28">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spans="1:28">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spans="1:28">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spans="1:28">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spans="1:28">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spans="1:2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spans="1:28">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spans="1:28">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spans="1:28">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spans="1:28">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spans="1:28">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spans="1:28">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spans="1:28">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spans="1:28">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spans="1:28">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spans="1:2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spans="1:28">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spans="1:28">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spans="1:28">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spans="1:28">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spans="1:28">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spans="1:28">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spans="1:28">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spans="1:28">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spans="1:28">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spans="1:2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spans="1:28">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spans="1:28">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spans="1:28">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spans="1:28">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spans="1:28">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spans="1:28">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spans="1:28">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spans="1:28">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spans="1:28">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spans="1:2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spans="1:28">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spans="1:28">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spans="1:28">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spans="1:28">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spans="1:28">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spans="1:28">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spans="1:28">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spans="1:28">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spans="1:28">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spans="1: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spans="1:28">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spans="1:28">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spans="1:28">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spans="1:28">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spans="1:28">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spans="1:28">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spans="1:28">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spans="1:28">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spans="1:28">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spans="1:2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spans="1:28">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spans="1:28">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spans="1:28">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spans="1:28">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spans="1:28">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spans="1:28">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spans="1:28">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spans="1:28">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spans="1:28">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spans="1:2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spans="1:28">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spans="1:28">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spans="1:28">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spans="1:28">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spans="1:28">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spans="1:28">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spans="1:28">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spans="1:28">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spans="1:28">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spans="1:2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spans="1:28">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spans="1:28">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spans="1:28">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spans="1:28">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spans="1:28">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spans="1:28">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spans="1:28">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spans="1:28">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spans="1:28">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spans="1:2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spans="1:28">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spans="1:28">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spans="1:28">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spans="1:28">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spans="1:28">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spans="1:28">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spans="1:28">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spans="1:28">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spans="1:28">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spans="1:2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spans="1:28">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spans="1:28">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spans="1:28">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spans="1:28">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spans="1:28">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spans="1:28">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spans="1:28">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spans="1:28">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spans="1:28">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spans="1:2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spans="1:28">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spans="1:28">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spans="1:28">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spans="1:28">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spans="1:28">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spans="1:28">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spans="1:28">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spans="1:28">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spans="1:28">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spans="1:2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spans="1:28">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spans="1:28">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spans="1:28">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spans="1:28">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spans="1:28">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spans="1:28">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spans="1:28">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spans="1:28">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spans="1:28">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spans="1:2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spans="1:28">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spans="1:28">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spans="1:28">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spans="1:28">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spans="1:28">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spans="1:28">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spans="1:28">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spans="1:28">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spans="1:28">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spans="1:2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spans="1:28">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spans="1:28">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spans="1:28">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spans="1:28">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spans="1:28">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spans="1:28">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spans="1:28">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spans="1:28">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spans="1:28">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spans="1: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spans="1:28">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spans="1:28">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spans="1:28">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spans="1:28">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spans="1:28">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spans="1:28">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spans="1:28">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spans="1:28">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spans="1:28">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spans="1:2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spans="1:28">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spans="1:28">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spans="1:28">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spans="1:28">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spans="1:28">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spans="1:28">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spans="1:28">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spans="1:28">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spans="1:28">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spans="1:2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spans="1:28">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spans="1:28">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spans="1:28">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spans="1:28">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spans="1:28">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spans="1:28">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spans="1:28">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spans="1:28">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spans="1:28">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spans="1:2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spans="1:28">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spans="1:28">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spans="1:28">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spans="1:28">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spans="1:28">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spans="1:28">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spans="1:28">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spans="1:28">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spans="1:28">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spans="1:2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spans="1:28">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spans="1:28">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spans="1:28">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spans="1:28">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spans="1:28">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spans="1:28">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spans="1:28">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spans="1:28">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spans="1:28">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spans="1:2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spans="1:28">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spans="1:28">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spans="1:28">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spans="1:28">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spans="1:28">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spans="1:28">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spans="1:28">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spans="1:28">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spans="1:28">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spans="1:2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spans="1:28">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spans="1:28">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spans="1:28">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spans="1:28">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spans="1:28">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spans="1:28">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spans="1:28">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spans="1:28">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spans="1:28">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spans="1:2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spans="1:28">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spans="1:28">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spans="1:28">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spans="1:28">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spans="1:28">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spans="1:28">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spans="1:28">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spans="1:28">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spans="1:28">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spans="1:2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spans="1:28">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spans="1:28">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spans="1:28">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spans="1:28">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spans="1:28">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spans="1:28">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spans="1:28">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spans="1:28">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spans="1:28">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spans="1:2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spans="1:28">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spans="1:28">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spans="1:28">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spans="1:28">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spans="1:28">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spans="1:28">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spans="1:28">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spans="1:28">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spans="1:28">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spans="1: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spans="1:28">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spans="1:28">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spans="1:28">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spans="1:28">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spans="1:28">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spans="1:28">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spans="1:28">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spans="1:28">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spans="1:28">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spans="1:2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spans="1:28">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spans="1:28">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spans="1:28">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spans="1:28">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spans="1:28">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spans="1:28">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spans="1:28">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spans="1:28">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spans="1:28">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spans="1:2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spans="1:28">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spans="1:28">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spans="1:28">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spans="1:28">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spans="1:28">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spans="1:28">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spans="1:28">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spans="1:28">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spans="1:28">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spans="1:2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spans="1:28">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spans="1:28">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spans="1:28">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spans="1:28">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spans="1:28">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spans="1:28">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spans="1:28">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spans="1:28">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spans="1:28">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spans="1:2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spans="1:28">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spans="1:28">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spans="1:28">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spans="1:28">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spans="1:28">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spans="1:28">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spans="1:28">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spans="1:28">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spans="1:28">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spans="1:2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spans="1:28">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spans="1:28">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spans="1:28">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spans="1:28">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spans="1:28">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spans="1:28">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spans="1:28">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spans="1:28">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spans="1:28">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spans="1:2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spans="1:28">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spans="1:28">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spans="1:28">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spans="1:28">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spans="1:28">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spans="1:28">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spans="1:28">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spans="1:28">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spans="1:28">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spans="1:2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spans="1:28">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spans="1:28">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spans="1:28">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spans="1:28">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spans="1:28">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spans="1:28">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spans="1:28">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spans="1:28">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spans="1:28">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spans="1:2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spans="1:28">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spans="1:28">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spans="1:28">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spans="1:28">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spans="1:28">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spans="1:28">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spans="1:28">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spans="1:28">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spans="1:28">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spans="1:2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spans="1:28">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spans="1:28">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spans="1:28">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spans="1:28">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spans="1:28">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spans="1:28">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spans="1:28">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spans="1:28">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spans="1:28">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spans="1: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spans="1:28">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spans="1:28">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spans="1:28">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spans="1:28">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spans="1:28">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spans="1:28">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spans="1:28">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spans="1:28">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spans="1:28">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spans="1:2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spans="1:28">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spans="1:28">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spans="1:28">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spans="1:28">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spans="1:28">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spans="1:28">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spans="1:28">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spans="1:28">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spans="1:28">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spans="1:2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spans="1:28">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spans="1:28">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spans="1:28">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spans="1:28">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spans="1:28">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spans="1:28">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spans="1:28">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spans="1:28">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spans="1:28">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spans="1:2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spans="1:28">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spans="1:28">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spans="1:28">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spans="1:28">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spans="1:28">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spans="1:28">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spans="1:28">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spans="1:28">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spans="1:28">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spans="1:2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spans="1:28">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spans="1:28">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spans="1:28">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spans="1:28">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spans="1:28">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spans="1:28">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spans="1:28">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spans="1:28">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spans="1:28">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spans="1:2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spans="1:28">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spans="1:28">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spans="1:28">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spans="1:28">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spans="1:28">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spans="1:28">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spans="1:28">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spans="1:28">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spans="1:28">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spans="1:2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spans="1:28">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spans="1:28">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spans="1:28">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spans="1:28">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spans="1:28">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spans="1:28">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spans="1:28">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spans="1:28">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spans="1:28">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spans="1:2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spans="1:28">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spans="1:28">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spans="1:28">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sheetData>
  <mergeCells count="4">
    <mergeCell ref="I1:K1"/>
    <mergeCell ref="E11:G11"/>
    <mergeCell ref="E14:G14"/>
    <mergeCell ref="A15:C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49"/>
  <sheetViews>
    <sheetView topLeftCell="A52" workbookViewId="0">
      <selection activeCell="C22" sqref="C22"/>
    </sheetView>
  </sheetViews>
  <sheetFormatPr defaultColWidth="12.6640625" defaultRowHeight="15.75" customHeight="1"/>
  <cols>
    <col min="1" max="1" width="41.44140625" customWidth="1"/>
    <col min="2" max="2" width="46.21875" customWidth="1"/>
    <col min="6" max="6" width="32" customWidth="1"/>
  </cols>
  <sheetData>
    <row r="1" spans="1:26" ht="13.2">
      <c r="A1" s="2" t="s">
        <v>1</v>
      </c>
      <c r="B1" s="4"/>
      <c r="C1" s="4"/>
      <c r="D1" s="4"/>
      <c r="E1" s="4"/>
      <c r="F1" s="4"/>
      <c r="G1" s="4"/>
      <c r="H1" s="4"/>
      <c r="I1" s="4"/>
      <c r="J1" s="4"/>
      <c r="K1" s="4"/>
      <c r="L1" s="4"/>
      <c r="M1" s="4"/>
      <c r="N1" s="4"/>
      <c r="O1" s="4"/>
      <c r="P1" s="4"/>
      <c r="Q1" s="4"/>
      <c r="R1" s="4"/>
      <c r="S1" s="4"/>
      <c r="T1" s="4"/>
      <c r="U1" s="4"/>
      <c r="V1" s="4"/>
      <c r="W1" s="4"/>
      <c r="X1" s="4"/>
      <c r="Y1" s="4"/>
      <c r="Z1" s="4"/>
    </row>
    <row r="2" spans="1:26" ht="13.2">
      <c r="A2" s="8" t="s">
        <v>2</v>
      </c>
      <c r="B2" s="8" t="s">
        <v>9</v>
      </c>
      <c r="C2" s="4"/>
      <c r="D2" s="4"/>
      <c r="E2" s="4"/>
      <c r="F2" s="4"/>
      <c r="G2" s="4"/>
      <c r="H2" s="4"/>
      <c r="I2" s="4"/>
      <c r="J2" s="4"/>
      <c r="K2" s="4"/>
      <c r="L2" s="4"/>
      <c r="M2" s="4"/>
      <c r="N2" s="4"/>
      <c r="O2" s="4"/>
      <c r="P2" s="4"/>
      <c r="Q2" s="4"/>
      <c r="R2" s="4"/>
      <c r="S2" s="4"/>
      <c r="T2" s="4"/>
      <c r="U2" s="4"/>
      <c r="V2" s="4"/>
      <c r="W2" s="4"/>
      <c r="X2" s="4"/>
      <c r="Y2" s="4"/>
      <c r="Z2" s="4"/>
    </row>
    <row r="3" spans="1:26" ht="13.2">
      <c r="A3" s="10" t="s">
        <v>3</v>
      </c>
      <c r="B3" s="10">
        <f>SUM(E55,G157)</f>
        <v>165500</v>
      </c>
      <c r="C3" s="4"/>
      <c r="D3" s="4"/>
      <c r="E3" s="4"/>
      <c r="F3" s="4"/>
      <c r="G3" s="4"/>
      <c r="H3" s="4"/>
      <c r="I3" s="4"/>
      <c r="J3" s="4"/>
      <c r="K3" s="4"/>
      <c r="L3" s="4"/>
      <c r="M3" s="4"/>
      <c r="N3" s="4"/>
      <c r="O3" s="4"/>
      <c r="P3" s="4"/>
      <c r="Q3" s="4"/>
      <c r="R3" s="4"/>
      <c r="S3" s="4"/>
      <c r="T3" s="4"/>
      <c r="U3" s="4"/>
      <c r="V3" s="4"/>
      <c r="W3" s="4"/>
      <c r="X3" s="4"/>
      <c r="Y3" s="4"/>
      <c r="Z3" s="4"/>
    </row>
    <row r="4" spans="1:26" ht="13.2">
      <c r="A4" s="10" t="s">
        <v>4</v>
      </c>
      <c r="B4" s="10">
        <f>E59</f>
        <v>0</v>
      </c>
      <c r="C4" s="4"/>
      <c r="D4" s="4"/>
      <c r="E4" s="4"/>
      <c r="F4" s="4"/>
      <c r="G4" s="4"/>
      <c r="H4" s="4"/>
      <c r="I4" s="4"/>
      <c r="J4" s="4"/>
      <c r="K4" s="4"/>
      <c r="L4" s="4"/>
      <c r="M4" s="4"/>
      <c r="N4" s="4"/>
      <c r="O4" s="4"/>
      <c r="P4" s="4"/>
      <c r="Q4" s="4"/>
      <c r="R4" s="4"/>
      <c r="S4" s="4"/>
      <c r="T4" s="4"/>
      <c r="U4" s="4"/>
      <c r="V4" s="4"/>
      <c r="W4" s="4"/>
      <c r="X4" s="4"/>
      <c r="Y4" s="4"/>
      <c r="Z4" s="4"/>
    </row>
    <row r="5" spans="1:26" ht="13.2">
      <c r="A5" s="8" t="s">
        <v>5</v>
      </c>
      <c r="B5" s="10">
        <f>SUM(B3:B4)</f>
        <v>165500</v>
      </c>
      <c r="C5" s="4"/>
      <c r="D5" s="4"/>
      <c r="E5" s="4"/>
      <c r="F5" s="4"/>
      <c r="G5" s="4"/>
      <c r="H5" s="4"/>
      <c r="I5" s="4"/>
      <c r="J5" s="4"/>
      <c r="K5" s="4"/>
      <c r="L5" s="4"/>
      <c r="M5" s="4"/>
      <c r="N5" s="4"/>
      <c r="O5" s="4"/>
      <c r="P5" s="4"/>
      <c r="Q5" s="4"/>
      <c r="R5" s="4"/>
      <c r="S5" s="4"/>
      <c r="T5" s="4"/>
      <c r="U5" s="4"/>
      <c r="V5" s="4"/>
      <c r="W5" s="4"/>
      <c r="X5" s="4"/>
      <c r="Y5" s="4"/>
      <c r="Z5" s="4"/>
    </row>
    <row r="6" spans="1:26" ht="13.2">
      <c r="A6" s="2"/>
      <c r="B6" s="4"/>
      <c r="C6" s="4"/>
      <c r="D6" s="4"/>
      <c r="E6" s="4"/>
      <c r="F6" s="4"/>
      <c r="G6" s="4"/>
      <c r="H6" s="4"/>
      <c r="I6" s="4"/>
      <c r="J6" s="4"/>
      <c r="K6" s="4"/>
      <c r="L6" s="4"/>
      <c r="M6" s="4"/>
      <c r="N6" s="4"/>
      <c r="O6" s="4"/>
      <c r="P6" s="4"/>
      <c r="Q6" s="4"/>
      <c r="R6" s="4"/>
      <c r="S6" s="4"/>
      <c r="T6" s="4"/>
      <c r="U6" s="4"/>
      <c r="V6" s="4"/>
      <c r="W6" s="4"/>
      <c r="X6" s="4"/>
      <c r="Y6" s="4"/>
      <c r="Z6" s="4"/>
    </row>
    <row r="7" spans="1:26" ht="13.2">
      <c r="A7" s="2" t="s">
        <v>14</v>
      </c>
      <c r="B7" s="4"/>
      <c r="C7" s="4"/>
      <c r="D7" s="4"/>
      <c r="E7" s="4"/>
      <c r="F7" s="4"/>
      <c r="G7" s="4"/>
      <c r="H7" s="4"/>
      <c r="I7" s="4"/>
      <c r="J7" s="4"/>
      <c r="K7" s="4"/>
      <c r="L7" s="4"/>
      <c r="M7" s="4"/>
      <c r="N7" s="4"/>
      <c r="O7" s="4"/>
      <c r="P7" s="4"/>
      <c r="Q7" s="4"/>
      <c r="R7" s="4"/>
      <c r="S7" s="4"/>
      <c r="T7" s="4"/>
      <c r="U7" s="4"/>
      <c r="V7" s="4"/>
      <c r="W7" s="4"/>
      <c r="X7" s="4"/>
      <c r="Y7" s="4"/>
      <c r="Z7" s="4"/>
    </row>
    <row r="8" spans="1:26" ht="13.2">
      <c r="A8" s="2"/>
      <c r="B8" s="4"/>
      <c r="C8" s="4"/>
      <c r="D8" s="4"/>
      <c r="E8" s="4"/>
      <c r="F8" s="4"/>
      <c r="G8" s="4"/>
      <c r="H8" s="4"/>
      <c r="I8" s="4"/>
      <c r="J8" s="4"/>
      <c r="K8" s="4"/>
      <c r="L8" s="4"/>
      <c r="M8" s="4"/>
      <c r="N8" s="4"/>
      <c r="O8" s="4"/>
      <c r="P8" s="4"/>
      <c r="Q8" s="4"/>
      <c r="R8" s="4"/>
      <c r="S8" s="4"/>
      <c r="T8" s="4"/>
      <c r="U8" s="4"/>
      <c r="V8" s="4"/>
      <c r="W8" s="4"/>
      <c r="X8" s="4"/>
      <c r="Y8" s="4"/>
      <c r="Z8" s="4"/>
    </row>
    <row r="9" spans="1:26" ht="13.2">
      <c r="A9" s="2" t="s">
        <v>18</v>
      </c>
      <c r="B9" s="4"/>
      <c r="C9" s="4"/>
      <c r="D9" s="4"/>
      <c r="E9" s="4"/>
      <c r="F9" s="4"/>
      <c r="G9" s="4"/>
      <c r="H9" s="4"/>
      <c r="I9" s="4"/>
      <c r="J9" s="4"/>
      <c r="K9" s="4"/>
      <c r="L9" s="4"/>
      <c r="M9" s="4"/>
      <c r="N9" s="4"/>
      <c r="O9" s="4"/>
      <c r="P9" s="4"/>
      <c r="Q9" s="4"/>
      <c r="R9" s="4"/>
      <c r="S9" s="4"/>
      <c r="T9" s="4"/>
      <c r="U9" s="4"/>
      <c r="V9" s="4"/>
      <c r="W9" s="4"/>
      <c r="X9" s="4"/>
      <c r="Y9" s="4"/>
      <c r="Z9" s="4"/>
    </row>
    <row r="10" spans="1:26" ht="13.2">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3.2">
      <c r="A11" s="10" t="s">
        <v>20</v>
      </c>
      <c r="B11" s="10" t="s">
        <v>21</v>
      </c>
      <c r="C11" s="4"/>
      <c r="D11" s="4"/>
      <c r="E11" s="4"/>
      <c r="F11" s="4"/>
      <c r="G11" s="4"/>
      <c r="H11" s="4"/>
      <c r="I11" s="4"/>
      <c r="J11" s="4"/>
      <c r="K11" s="4"/>
      <c r="L11" s="4"/>
      <c r="M11" s="4"/>
      <c r="N11" s="4"/>
      <c r="O11" s="4"/>
      <c r="P11" s="4"/>
      <c r="Q11" s="4"/>
      <c r="R11" s="4"/>
      <c r="S11" s="4"/>
      <c r="T11" s="4"/>
      <c r="U11" s="4"/>
      <c r="V11" s="4"/>
      <c r="W11" s="4"/>
      <c r="X11" s="4"/>
      <c r="Y11" s="4"/>
      <c r="Z11" s="4"/>
    </row>
    <row r="12" spans="1:26" ht="13.2">
      <c r="A12" s="10" t="s">
        <v>26</v>
      </c>
      <c r="B12" s="10" t="s">
        <v>27</v>
      </c>
      <c r="C12" s="4"/>
      <c r="D12" s="4"/>
      <c r="E12" s="4"/>
      <c r="F12" s="4"/>
      <c r="G12" s="4"/>
      <c r="H12" s="4"/>
      <c r="I12" s="4"/>
      <c r="J12" s="4"/>
      <c r="K12" s="4"/>
      <c r="L12" s="4"/>
      <c r="M12" s="4"/>
      <c r="N12" s="4"/>
      <c r="O12" s="4"/>
      <c r="P12" s="4"/>
      <c r="Q12" s="4"/>
      <c r="R12" s="4"/>
      <c r="S12" s="4"/>
      <c r="T12" s="4"/>
      <c r="U12" s="4"/>
      <c r="V12" s="4"/>
      <c r="W12" s="4"/>
      <c r="X12" s="4"/>
      <c r="Y12" s="4"/>
      <c r="Z12" s="4"/>
    </row>
    <row r="13" spans="1:26" ht="13.2">
      <c r="A13" s="10" t="s">
        <v>30</v>
      </c>
      <c r="B13" s="10" t="s">
        <v>31</v>
      </c>
      <c r="C13" s="4"/>
      <c r="D13" s="4"/>
      <c r="E13" s="4"/>
      <c r="F13" s="4"/>
      <c r="G13" s="4"/>
      <c r="H13" s="4"/>
      <c r="I13" s="4"/>
      <c r="J13" s="4"/>
      <c r="K13" s="4"/>
      <c r="L13" s="4"/>
      <c r="M13" s="4"/>
      <c r="N13" s="4"/>
      <c r="O13" s="4"/>
      <c r="P13" s="4"/>
      <c r="Q13" s="4"/>
      <c r="R13" s="4"/>
      <c r="S13" s="4"/>
      <c r="T13" s="4"/>
      <c r="U13" s="4"/>
      <c r="V13" s="4"/>
      <c r="W13" s="4"/>
      <c r="X13" s="4"/>
      <c r="Y13" s="4"/>
      <c r="Z13" s="4"/>
    </row>
    <row r="14" spans="1:26" ht="13.2">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3.2">
      <c r="A15" s="10" t="s">
        <v>35</v>
      </c>
      <c r="B15" s="10" t="s">
        <v>36</v>
      </c>
      <c r="C15" s="4"/>
      <c r="D15" s="4"/>
      <c r="E15" s="4"/>
      <c r="F15" s="4"/>
      <c r="G15" s="4"/>
      <c r="H15" s="4"/>
      <c r="I15" s="4"/>
      <c r="J15" s="4"/>
      <c r="K15" s="4"/>
      <c r="L15" s="4"/>
      <c r="M15" s="4"/>
      <c r="N15" s="4"/>
      <c r="O15" s="4"/>
      <c r="P15" s="4"/>
      <c r="Q15" s="4"/>
      <c r="R15" s="4"/>
      <c r="S15" s="4"/>
      <c r="T15" s="4"/>
      <c r="U15" s="4"/>
      <c r="V15" s="4"/>
      <c r="W15" s="4"/>
      <c r="X15" s="4"/>
      <c r="Y15" s="4"/>
      <c r="Z15" s="4"/>
    </row>
    <row r="16" spans="1:26" ht="13.2">
      <c r="A16" s="10" t="s">
        <v>26</v>
      </c>
      <c r="B16" s="10" t="s">
        <v>40</v>
      </c>
      <c r="C16" s="4"/>
      <c r="D16" s="4"/>
      <c r="E16" s="4"/>
      <c r="F16" s="4"/>
      <c r="G16" s="4"/>
      <c r="H16" s="4"/>
      <c r="I16" s="4"/>
      <c r="J16" s="4"/>
      <c r="K16" s="4"/>
      <c r="L16" s="4"/>
      <c r="M16" s="4"/>
      <c r="N16" s="4"/>
      <c r="O16" s="4"/>
      <c r="P16" s="4"/>
      <c r="Q16" s="4"/>
      <c r="R16" s="4"/>
      <c r="S16" s="4"/>
      <c r="T16" s="4"/>
      <c r="U16" s="4"/>
      <c r="V16" s="4"/>
      <c r="W16" s="4"/>
      <c r="X16" s="4"/>
      <c r="Y16" s="4"/>
      <c r="Z16" s="4"/>
    </row>
    <row r="17" spans="1:26" ht="13.2">
      <c r="A17" s="10" t="s">
        <v>30</v>
      </c>
      <c r="B17" s="10" t="s">
        <v>43</v>
      </c>
      <c r="C17" s="4"/>
      <c r="D17" s="4"/>
      <c r="E17" s="4"/>
      <c r="F17" s="4"/>
      <c r="G17" s="4"/>
      <c r="H17" s="4"/>
      <c r="I17" s="4"/>
      <c r="J17" s="4"/>
      <c r="K17" s="4"/>
      <c r="L17" s="4"/>
      <c r="M17" s="4"/>
      <c r="N17" s="4"/>
      <c r="O17" s="4"/>
      <c r="P17" s="4"/>
      <c r="Q17" s="4"/>
      <c r="R17" s="4"/>
      <c r="S17" s="4"/>
      <c r="T17" s="4"/>
      <c r="U17" s="4"/>
      <c r="V17" s="4"/>
      <c r="W17" s="4"/>
      <c r="X17" s="4"/>
      <c r="Y17" s="4"/>
      <c r="Z17" s="4"/>
    </row>
    <row r="18" spans="1:26" ht="13.2">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3.2">
      <c r="A19" s="10" t="s">
        <v>53</v>
      </c>
      <c r="B19" s="10" t="s">
        <v>55</v>
      </c>
      <c r="C19" s="4"/>
      <c r="D19" s="4"/>
      <c r="E19" s="4"/>
      <c r="F19" s="4"/>
      <c r="G19" s="4"/>
      <c r="H19" s="4"/>
      <c r="I19" s="4"/>
      <c r="J19" s="4"/>
      <c r="K19" s="4"/>
      <c r="L19" s="4"/>
      <c r="M19" s="4"/>
      <c r="N19" s="4"/>
      <c r="O19" s="4"/>
      <c r="P19" s="4"/>
      <c r="Q19" s="4"/>
      <c r="R19" s="4"/>
      <c r="S19" s="4"/>
      <c r="T19" s="4"/>
      <c r="U19" s="4"/>
      <c r="V19" s="4"/>
      <c r="W19" s="4"/>
      <c r="X19" s="4"/>
      <c r="Y19" s="4"/>
      <c r="Z19" s="4"/>
    </row>
    <row r="20" spans="1:26" ht="13.2">
      <c r="A20" s="10" t="s">
        <v>26</v>
      </c>
      <c r="B20" s="10" t="s">
        <v>57</v>
      </c>
      <c r="C20" s="4"/>
      <c r="D20" s="4"/>
      <c r="E20" s="4"/>
      <c r="F20" s="4"/>
      <c r="G20" s="4"/>
      <c r="H20" s="4"/>
      <c r="I20" s="4"/>
      <c r="J20" s="4"/>
      <c r="K20" s="4"/>
      <c r="L20" s="4"/>
      <c r="M20" s="4"/>
      <c r="N20" s="4"/>
      <c r="O20" s="4"/>
      <c r="P20" s="4"/>
      <c r="Q20" s="4"/>
      <c r="R20" s="4"/>
      <c r="S20" s="4"/>
      <c r="T20" s="4"/>
      <c r="U20" s="4"/>
      <c r="V20" s="4"/>
      <c r="W20" s="4"/>
      <c r="X20" s="4"/>
      <c r="Y20" s="4"/>
      <c r="Z20" s="4"/>
    </row>
    <row r="21" spans="1:26" ht="13.2">
      <c r="A21" s="10" t="s">
        <v>30</v>
      </c>
      <c r="B21" s="10" t="s">
        <v>62</v>
      </c>
      <c r="C21" s="4"/>
      <c r="D21" s="4"/>
      <c r="E21" s="4"/>
      <c r="F21" s="4"/>
      <c r="G21" s="4"/>
      <c r="H21" s="4"/>
      <c r="I21" s="4"/>
      <c r="J21" s="4"/>
      <c r="K21" s="4"/>
      <c r="L21" s="4"/>
      <c r="M21" s="4"/>
      <c r="N21" s="4"/>
      <c r="O21" s="4"/>
      <c r="P21" s="4"/>
      <c r="Q21" s="4"/>
      <c r="R21" s="4"/>
      <c r="S21" s="4"/>
      <c r="T21" s="4"/>
      <c r="U21" s="4"/>
      <c r="V21" s="4"/>
      <c r="W21" s="4"/>
      <c r="X21" s="4"/>
      <c r="Y21" s="4"/>
      <c r="Z21" s="4"/>
    </row>
    <row r="22" spans="1:26" ht="13.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2">
      <c r="A23" s="10" t="s">
        <v>65</v>
      </c>
      <c r="B23" s="10" t="s">
        <v>66</v>
      </c>
      <c r="C23" s="4"/>
      <c r="D23" s="4"/>
      <c r="E23" s="4"/>
      <c r="F23" s="4"/>
      <c r="G23" s="4"/>
      <c r="H23" s="4"/>
      <c r="I23" s="4"/>
      <c r="J23" s="4"/>
      <c r="K23" s="4"/>
      <c r="L23" s="4"/>
      <c r="M23" s="4"/>
      <c r="N23" s="4"/>
      <c r="O23" s="4"/>
      <c r="P23" s="4"/>
      <c r="Q23" s="4"/>
      <c r="R23" s="4"/>
      <c r="S23" s="4"/>
      <c r="T23" s="4"/>
      <c r="U23" s="4"/>
      <c r="V23" s="4"/>
      <c r="W23" s="4"/>
      <c r="X23" s="4"/>
      <c r="Y23" s="4"/>
      <c r="Z23" s="4"/>
    </row>
    <row r="24" spans="1:26" ht="13.2">
      <c r="A24" s="10" t="s">
        <v>26</v>
      </c>
      <c r="B24" s="10" t="s">
        <v>68</v>
      </c>
      <c r="C24" s="4"/>
      <c r="D24" s="4"/>
      <c r="E24" s="4"/>
      <c r="F24" s="4"/>
      <c r="G24" s="4"/>
      <c r="H24" s="4"/>
      <c r="I24" s="4"/>
      <c r="J24" s="4"/>
      <c r="K24" s="4"/>
      <c r="L24" s="4"/>
      <c r="M24" s="4"/>
      <c r="N24" s="4"/>
      <c r="O24" s="4"/>
      <c r="P24" s="4"/>
      <c r="Q24" s="4"/>
      <c r="R24" s="4"/>
      <c r="S24" s="4"/>
      <c r="T24" s="4"/>
      <c r="U24" s="4"/>
      <c r="V24" s="4"/>
      <c r="W24" s="4"/>
      <c r="X24" s="4"/>
      <c r="Y24" s="4"/>
      <c r="Z24" s="4"/>
    </row>
    <row r="25" spans="1:26" ht="13.2">
      <c r="A25" s="10" t="s">
        <v>30</v>
      </c>
      <c r="B25" s="10" t="s">
        <v>62</v>
      </c>
      <c r="C25" s="4"/>
      <c r="D25" s="4"/>
      <c r="E25" s="4"/>
      <c r="F25" s="4"/>
      <c r="G25" s="4"/>
      <c r="H25" s="4"/>
      <c r="I25" s="4"/>
      <c r="J25" s="4"/>
      <c r="K25" s="4"/>
      <c r="L25" s="4"/>
      <c r="M25" s="4"/>
      <c r="N25" s="4"/>
      <c r="O25" s="4"/>
      <c r="P25" s="4"/>
      <c r="Q25" s="4"/>
      <c r="R25" s="4"/>
      <c r="S25" s="4"/>
      <c r="T25" s="4"/>
      <c r="U25" s="4"/>
      <c r="V25" s="4"/>
      <c r="W25" s="4"/>
      <c r="X25" s="4"/>
      <c r="Y25" s="4"/>
      <c r="Z25" s="4"/>
    </row>
    <row r="26" spans="1:26" ht="13.2">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2">
      <c r="A27" s="10" t="s">
        <v>75</v>
      </c>
      <c r="B27" s="10" t="s">
        <v>76</v>
      </c>
      <c r="C27" s="4"/>
      <c r="D27" s="4"/>
      <c r="E27" s="4"/>
      <c r="F27" s="4"/>
      <c r="G27" s="4"/>
      <c r="H27" s="4"/>
      <c r="I27" s="4"/>
      <c r="J27" s="4"/>
      <c r="K27" s="4"/>
      <c r="L27" s="4"/>
      <c r="M27" s="4"/>
      <c r="N27" s="4"/>
      <c r="O27" s="4"/>
      <c r="P27" s="4"/>
      <c r="Q27" s="4"/>
      <c r="R27" s="4"/>
      <c r="S27" s="4"/>
      <c r="T27" s="4"/>
      <c r="U27" s="4"/>
      <c r="V27" s="4"/>
      <c r="W27" s="4"/>
      <c r="X27" s="4"/>
      <c r="Y27" s="4"/>
      <c r="Z27" s="4"/>
    </row>
    <row r="28" spans="1:26" ht="13.2">
      <c r="A28" s="10" t="s">
        <v>26</v>
      </c>
      <c r="B28" s="10" t="s">
        <v>77</v>
      </c>
      <c r="C28" s="4"/>
      <c r="D28" s="4"/>
      <c r="E28" s="4"/>
      <c r="F28" s="4"/>
      <c r="G28" s="4"/>
      <c r="H28" s="4"/>
      <c r="I28" s="4"/>
      <c r="J28" s="4"/>
      <c r="K28" s="4"/>
      <c r="L28" s="4"/>
      <c r="M28" s="4"/>
      <c r="N28" s="4"/>
      <c r="O28" s="4"/>
      <c r="P28" s="4"/>
      <c r="Q28" s="4"/>
      <c r="R28" s="4"/>
      <c r="S28" s="4"/>
      <c r="T28" s="4"/>
      <c r="U28" s="4"/>
      <c r="V28" s="4"/>
      <c r="W28" s="4"/>
      <c r="X28" s="4"/>
      <c r="Y28" s="4"/>
      <c r="Z28" s="4"/>
    </row>
    <row r="29" spans="1:26" ht="13.2">
      <c r="A29" s="10" t="s">
        <v>30</v>
      </c>
      <c r="B29" s="10" t="s">
        <v>31</v>
      </c>
      <c r="C29" s="4"/>
      <c r="D29" s="4"/>
      <c r="E29" s="4"/>
      <c r="F29" s="4"/>
      <c r="G29" s="4"/>
      <c r="H29" s="4"/>
      <c r="I29" s="4"/>
      <c r="J29" s="4"/>
      <c r="K29" s="4"/>
      <c r="L29" s="4"/>
      <c r="M29" s="4"/>
      <c r="N29" s="4"/>
      <c r="O29" s="4"/>
      <c r="P29" s="4"/>
      <c r="Q29" s="4"/>
      <c r="R29" s="4"/>
      <c r="S29" s="4"/>
      <c r="T29" s="4"/>
      <c r="U29" s="4"/>
      <c r="V29" s="4"/>
      <c r="W29" s="4"/>
      <c r="X29" s="4"/>
      <c r="Y29" s="4"/>
      <c r="Z29" s="4"/>
    </row>
    <row r="30" spans="1:26" ht="13.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2">
      <c r="A31" s="2" t="s">
        <v>81</v>
      </c>
      <c r="B31" s="4"/>
      <c r="C31" s="4"/>
      <c r="D31" s="4"/>
      <c r="E31" s="4"/>
      <c r="F31" s="4"/>
      <c r="G31" s="4"/>
      <c r="H31" s="4"/>
      <c r="I31" s="4"/>
      <c r="J31" s="4"/>
      <c r="K31" s="4"/>
      <c r="L31" s="4"/>
      <c r="M31" s="4"/>
      <c r="N31" s="4"/>
      <c r="O31" s="4"/>
      <c r="P31" s="4"/>
      <c r="Q31" s="4"/>
      <c r="R31" s="4"/>
      <c r="S31" s="4"/>
      <c r="T31" s="4"/>
      <c r="U31" s="4"/>
      <c r="V31" s="4"/>
      <c r="W31" s="4"/>
      <c r="X31" s="4"/>
      <c r="Y31" s="4"/>
      <c r="Z31" s="4"/>
    </row>
    <row r="32" spans="1:26" ht="13.2">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2">
      <c r="A33" s="10" t="s">
        <v>20</v>
      </c>
      <c r="B33" s="10" t="s">
        <v>86</v>
      </c>
      <c r="C33" s="4"/>
      <c r="D33" s="4"/>
      <c r="E33" s="4"/>
      <c r="F33" s="4"/>
      <c r="G33" s="4"/>
      <c r="H33" s="4"/>
      <c r="I33" s="4"/>
      <c r="J33" s="4"/>
      <c r="K33" s="4"/>
      <c r="L33" s="4"/>
      <c r="M33" s="4"/>
      <c r="N33" s="4"/>
      <c r="O33" s="4"/>
      <c r="P33" s="4"/>
      <c r="Q33" s="4"/>
      <c r="R33" s="4"/>
      <c r="S33" s="4"/>
      <c r="T33" s="4"/>
      <c r="U33" s="4"/>
      <c r="V33" s="4"/>
      <c r="W33" s="4"/>
      <c r="X33" s="4"/>
      <c r="Y33" s="4"/>
      <c r="Z33" s="4"/>
    </row>
    <row r="34" spans="1:26" ht="13.2">
      <c r="A34" s="10" t="s">
        <v>26</v>
      </c>
      <c r="B34" s="10" t="s">
        <v>87</v>
      </c>
      <c r="C34" s="4"/>
      <c r="D34" s="4"/>
      <c r="E34" s="4"/>
      <c r="F34" s="4"/>
      <c r="G34" s="4"/>
      <c r="H34" s="4"/>
      <c r="I34" s="4"/>
      <c r="J34" s="4"/>
      <c r="K34" s="4"/>
      <c r="L34" s="4"/>
      <c r="M34" s="4"/>
      <c r="N34" s="4"/>
      <c r="O34" s="4"/>
      <c r="P34" s="4"/>
      <c r="Q34" s="4"/>
      <c r="R34" s="4"/>
      <c r="S34" s="4"/>
      <c r="T34" s="4"/>
      <c r="U34" s="4"/>
      <c r="V34" s="4"/>
      <c r="W34" s="4"/>
      <c r="X34" s="4"/>
      <c r="Y34" s="4"/>
      <c r="Z34" s="4"/>
    </row>
    <row r="35" spans="1:26" ht="13.2">
      <c r="A35" s="10" t="s">
        <v>30</v>
      </c>
      <c r="B35" s="10" t="s">
        <v>89</v>
      </c>
      <c r="C35" s="4"/>
      <c r="D35" s="4"/>
      <c r="E35" s="4"/>
      <c r="F35" s="4"/>
      <c r="G35" s="4"/>
      <c r="H35" s="4"/>
      <c r="I35" s="4"/>
      <c r="J35" s="4"/>
      <c r="K35" s="4"/>
      <c r="L35" s="4"/>
      <c r="M35" s="4"/>
      <c r="N35" s="4"/>
      <c r="O35" s="4"/>
      <c r="P35" s="4"/>
      <c r="Q35" s="4"/>
      <c r="R35" s="4"/>
      <c r="S35" s="4"/>
      <c r="T35" s="4"/>
      <c r="U35" s="4"/>
      <c r="V35" s="4"/>
      <c r="W35" s="4"/>
      <c r="X35" s="4"/>
      <c r="Y35" s="4"/>
      <c r="Z35" s="4"/>
    </row>
    <row r="36" spans="1:26" ht="13.2">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2">
      <c r="A37" s="10" t="s">
        <v>35</v>
      </c>
      <c r="B37" s="10" t="s">
        <v>92</v>
      </c>
      <c r="C37" s="4"/>
      <c r="D37" s="4"/>
      <c r="E37" s="4"/>
      <c r="F37" s="4"/>
      <c r="G37" s="4"/>
      <c r="H37" s="4"/>
      <c r="I37" s="4"/>
      <c r="J37" s="4"/>
      <c r="K37" s="4"/>
      <c r="L37" s="4"/>
      <c r="M37" s="4"/>
      <c r="N37" s="4"/>
      <c r="O37" s="4"/>
      <c r="P37" s="4"/>
      <c r="Q37" s="4"/>
      <c r="R37" s="4"/>
      <c r="S37" s="4"/>
      <c r="T37" s="4"/>
      <c r="U37" s="4"/>
      <c r="V37" s="4"/>
      <c r="W37" s="4"/>
      <c r="X37" s="4"/>
      <c r="Y37" s="4"/>
      <c r="Z37" s="4"/>
    </row>
    <row r="38" spans="1:26" ht="13.2">
      <c r="A38" s="10" t="s">
        <v>26</v>
      </c>
      <c r="B38" s="10" t="s">
        <v>95</v>
      </c>
      <c r="C38" s="4"/>
      <c r="D38" s="4"/>
      <c r="E38" s="4"/>
      <c r="F38" s="4"/>
      <c r="G38" s="4"/>
      <c r="H38" s="4"/>
      <c r="I38" s="4"/>
      <c r="J38" s="4"/>
      <c r="K38" s="4"/>
      <c r="L38" s="4"/>
      <c r="M38" s="4"/>
      <c r="N38" s="4"/>
      <c r="O38" s="4"/>
      <c r="P38" s="4"/>
      <c r="Q38" s="4"/>
      <c r="R38" s="4"/>
      <c r="S38" s="4"/>
      <c r="T38" s="4"/>
      <c r="U38" s="4"/>
      <c r="V38" s="4"/>
      <c r="W38" s="4"/>
      <c r="X38" s="4"/>
      <c r="Y38" s="4"/>
      <c r="Z38" s="4"/>
    </row>
    <row r="39" spans="1:26" ht="13.2">
      <c r="A39" s="10" t="s">
        <v>30</v>
      </c>
      <c r="B39" s="10" t="s">
        <v>97</v>
      </c>
      <c r="C39" s="4"/>
      <c r="D39" s="4"/>
      <c r="E39" s="4"/>
      <c r="F39" s="4"/>
      <c r="G39" s="4"/>
      <c r="H39" s="4"/>
      <c r="I39" s="4"/>
      <c r="J39" s="4"/>
      <c r="K39" s="4"/>
      <c r="L39" s="4"/>
      <c r="M39" s="4"/>
      <c r="N39" s="4"/>
      <c r="O39" s="4"/>
      <c r="P39" s="4"/>
      <c r="Q39" s="4"/>
      <c r="R39" s="4"/>
      <c r="S39" s="4"/>
      <c r="T39" s="4"/>
      <c r="U39" s="4"/>
      <c r="V39" s="4"/>
      <c r="W39" s="4"/>
      <c r="X39" s="4"/>
      <c r="Y39" s="4"/>
      <c r="Z39" s="4"/>
    </row>
    <row r="40" spans="1:26" ht="13.2">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2">
      <c r="A41" s="10" t="s">
        <v>53</v>
      </c>
      <c r="B41" s="10" t="s">
        <v>99</v>
      </c>
      <c r="C41" s="4"/>
      <c r="D41" s="4"/>
      <c r="E41" s="4"/>
      <c r="F41" s="4"/>
      <c r="G41" s="4"/>
      <c r="H41" s="4"/>
      <c r="I41" s="4"/>
      <c r="J41" s="4"/>
      <c r="K41" s="4"/>
      <c r="L41" s="4"/>
      <c r="M41" s="4"/>
      <c r="N41" s="4"/>
      <c r="O41" s="4"/>
      <c r="P41" s="4"/>
      <c r="Q41" s="4"/>
      <c r="R41" s="4"/>
      <c r="S41" s="4"/>
      <c r="T41" s="4"/>
      <c r="U41" s="4"/>
      <c r="V41" s="4"/>
      <c r="W41" s="4"/>
      <c r="X41" s="4"/>
      <c r="Y41" s="4"/>
      <c r="Z41" s="4"/>
    </row>
    <row r="42" spans="1:26" ht="13.2">
      <c r="A42" s="10" t="s">
        <v>26</v>
      </c>
      <c r="B42" s="10" t="s">
        <v>101</v>
      </c>
      <c r="C42" s="4"/>
      <c r="D42" s="4"/>
      <c r="E42" s="4"/>
      <c r="F42" s="4"/>
      <c r="G42" s="4"/>
      <c r="H42" s="4"/>
      <c r="I42" s="4"/>
      <c r="J42" s="4"/>
      <c r="K42" s="4"/>
      <c r="L42" s="4"/>
      <c r="M42" s="4"/>
      <c r="N42" s="4"/>
      <c r="O42" s="4"/>
      <c r="P42" s="4"/>
      <c r="Q42" s="4"/>
      <c r="R42" s="4"/>
      <c r="S42" s="4"/>
      <c r="T42" s="4"/>
      <c r="U42" s="4"/>
      <c r="V42" s="4"/>
      <c r="W42" s="4"/>
      <c r="X42" s="4"/>
      <c r="Y42" s="4"/>
      <c r="Z42" s="4"/>
    </row>
    <row r="43" spans="1:26" ht="13.2">
      <c r="A43" s="10" t="s">
        <v>30</v>
      </c>
      <c r="B43" s="10" t="s">
        <v>97</v>
      </c>
      <c r="C43" s="4"/>
      <c r="D43" s="4"/>
      <c r="E43" s="4"/>
      <c r="F43" s="4"/>
      <c r="G43" s="4"/>
      <c r="H43" s="4"/>
      <c r="I43" s="4"/>
      <c r="J43" s="4"/>
      <c r="K43" s="4"/>
      <c r="L43" s="4"/>
      <c r="M43" s="4"/>
      <c r="N43" s="4"/>
      <c r="O43" s="4"/>
      <c r="P43" s="4"/>
      <c r="Q43" s="4"/>
      <c r="R43" s="4"/>
      <c r="S43" s="4"/>
      <c r="T43" s="4"/>
      <c r="U43" s="4"/>
      <c r="V43" s="4"/>
      <c r="W43" s="4"/>
      <c r="X43" s="4"/>
      <c r="Y43" s="4"/>
      <c r="Z43" s="4"/>
    </row>
    <row r="44" spans="1:26" ht="13.2">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2">
      <c r="A45" s="10" t="s">
        <v>65</v>
      </c>
      <c r="B45" s="10" t="s">
        <v>105</v>
      </c>
      <c r="C45" s="4"/>
      <c r="D45" s="4"/>
      <c r="E45" s="4"/>
      <c r="F45" s="4"/>
      <c r="G45" s="4"/>
      <c r="H45" s="4"/>
      <c r="I45" s="4"/>
      <c r="J45" s="4"/>
      <c r="K45" s="4"/>
      <c r="L45" s="4"/>
      <c r="M45" s="4"/>
      <c r="N45" s="4"/>
      <c r="O45" s="4"/>
      <c r="P45" s="4"/>
      <c r="Q45" s="4"/>
      <c r="R45" s="4"/>
      <c r="S45" s="4"/>
      <c r="T45" s="4"/>
      <c r="U45" s="4"/>
      <c r="V45" s="4"/>
      <c r="W45" s="4"/>
      <c r="X45" s="4"/>
      <c r="Y45" s="4"/>
      <c r="Z45" s="4"/>
    </row>
    <row r="46" spans="1:26" ht="13.2">
      <c r="A46" s="10" t="s">
        <v>26</v>
      </c>
      <c r="B46" s="10" t="s">
        <v>108</v>
      </c>
      <c r="C46" s="4"/>
      <c r="D46" s="4"/>
      <c r="E46" s="4"/>
      <c r="F46" s="4"/>
      <c r="G46" s="4"/>
      <c r="H46" s="4"/>
      <c r="I46" s="4"/>
      <c r="J46" s="4"/>
      <c r="K46" s="4"/>
      <c r="L46" s="4"/>
      <c r="M46" s="4"/>
      <c r="N46" s="4"/>
      <c r="O46" s="4"/>
      <c r="P46" s="4"/>
      <c r="Q46" s="4"/>
      <c r="R46" s="4"/>
      <c r="S46" s="4"/>
      <c r="T46" s="4"/>
      <c r="U46" s="4"/>
      <c r="V46" s="4"/>
      <c r="W46" s="4"/>
      <c r="X46" s="4"/>
      <c r="Y46" s="4"/>
      <c r="Z46" s="4"/>
    </row>
    <row r="47" spans="1:26" ht="13.2">
      <c r="A47" s="10" t="s">
        <v>30</v>
      </c>
      <c r="B47" s="10" t="s">
        <v>97</v>
      </c>
      <c r="C47" s="4"/>
      <c r="D47" s="4"/>
      <c r="E47" s="4"/>
      <c r="F47" s="4"/>
      <c r="G47" s="4"/>
      <c r="H47" s="4"/>
      <c r="I47" s="4"/>
      <c r="J47" s="4"/>
      <c r="K47" s="4"/>
      <c r="L47" s="4"/>
      <c r="M47" s="4"/>
      <c r="N47" s="4"/>
      <c r="O47" s="4"/>
      <c r="P47" s="4"/>
      <c r="Q47" s="4"/>
      <c r="R47" s="4"/>
      <c r="S47" s="4"/>
      <c r="T47" s="4"/>
      <c r="U47" s="4"/>
      <c r="V47" s="4"/>
      <c r="W47" s="4"/>
      <c r="X47" s="4"/>
      <c r="Y47" s="4"/>
      <c r="Z47" s="4"/>
    </row>
    <row r="48" spans="1:26" ht="13.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2">
      <c r="A49" s="225" t="s">
        <v>34</v>
      </c>
      <c r="B49" s="226"/>
      <c r="C49" s="226"/>
      <c r="D49" s="226"/>
      <c r="E49" s="226"/>
      <c r="F49" s="227"/>
      <c r="G49" s="4"/>
      <c r="H49" s="4"/>
      <c r="I49" s="4"/>
      <c r="J49" s="4"/>
      <c r="K49" s="4"/>
      <c r="L49" s="4"/>
      <c r="M49" s="4"/>
      <c r="N49" s="4"/>
      <c r="O49" s="4"/>
      <c r="P49" s="4"/>
      <c r="Q49" s="4"/>
      <c r="R49" s="4"/>
      <c r="S49" s="4"/>
      <c r="T49" s="4"/>
      <c r="U49" s="4"/>
      <c r="V49" s="4"/>
      <c r="W49" s="4"/>
      <c r="X49" s="4"/>
      <c r="Y49" s="4"/>
      <c r="Z49" s="4"/>
    </row>
    <row r="50" spans="1:26" ht="13.2">
      <c r="A50" s="8" t="s">
        <v>44</v>
      </c>
      <c r="B50" s="8" t="s">
        <v>46</v>
      </c>
      <c r="C50" s="8" t="s">
        <v>47</v>
      </c>
      <c r="D50" s="8" t="s">
        <v>48</v>
      </c>
      <c r="E50" s="8" t="s">
        <v>9</v>
      </c>
      <c r="F50" s="8" t="s">
        <v>52</v>
      </c>
      <c r="G50" s="4"/>
      <c r="H50" s="4"/>
      <c r="I50" s="4"/>
      <c r="J50" s="4"/>
      <c r="K50" s="4"/>
      <c r="L50" s="4"/>
      <c r="M50" s="4"/>
      <c r="N50" s="4"/>
      <c r="O50" s="4"/>
      <c r="P50" s="4"/>
      <c r="Q50" s="4"/>
      <c r="R50" s="4"/>
      <c r="S50" s="4"/>
      <c r="T50" s="4"/>
      <c r="U50" s="4"/>
      <c r="V50" s="4"/>
      <c r="W50" s="4"/>
      <c r="X50" s="4"/>
      <c r="Y50" s="4"/>
      <c r="Z50" s="4"/>
    </row>
    <row r="51" spans="1:26" ht="13.2">
      <c r="A51" s="10">
        <v>1</v>
      </c>
      <c r="B51" s="10" t="s">
        <v>114</v>
      </c>
      <c r="C51" s="10">
        <v>23000</v>
      </c>
      <c r="D51" s="10">
        <v>1</v>
      </c>
      <c r="E51" s="10">
        <v>23000</v>
      </c>
      <c r="F51" s="24" t="s">
        <v>69</v>
      </c>
      <c r="G51" s="4"/>
      <c r="H51" s="4"/>
      <c r="I51" s="4"/>
      <c r="J51" s="4"/>
      <c r="K51" s="4"/>
      <c r="L51" s="4"/>
      <c r="M51" s="4"/>
      <c r="N51" s="4"/>
      <c r="O51" s="4"/>
      <c r="P51" s="4"/>
      <c r="Q51" s="4"/>
      <c r="R51" s="4"/>
      <c r="S51" s="4"/>
      <c r="T51" s="4"/>
      <c r="U51" s="4"/>
      <c r="V51" s="4"/>
      <c r="W51" s="4"/>
      <c r="X51" s="4"/>
      <c r="Y51" s="4"/>
      <c r="Z51" s="4"/>
    </row>
    <row r="52" spans="1:26" ht="13.2">
      <c r="A52" s="10">
        <v>2</v>
      </c>
      <c r="B52" s="10" t="s">
        <v>126</v>
      </c>
      <c r="C52" s="10"/>
      <c r="D52" s="10"/>
      <c r="E52" s="10">
        <v>5000</v>
      </c>
      <c r="F52" s="10"/>
      <c r="G52" s="4"/>
      <c r="H52" s="4"/>
      <c r="I52" s="4"/>
      <c r="J52" s="4"/>
      <c r="K52" s="4"/>
      <c r="L52" s="4"/>
      <c r="M52" s="4"/>
      <c r="N52" s="4"/>
      <c r="O52" s="4"/>
      <c r="P52" s="4"/>
      <c r="Q52" s="4"/>
      <c r="R52" s="4"/>
      <c r="S52" s="4"/>
      <c r="T52" s="4"/>
      <c r="U52" s="4"/>
      <c r="V52" s="4"/>
      <c r="W52" s="4"/>
      <c r="X52" s="4"/>
      <c r="Y52" s="4"/>
      <c r="Z52" s="4"/>
    </row>
    <row r="53" spans="1:26" ht="13.2">
      <c r="A53" s="10">
        <v>3</v>
      </c>
      <c r="B53" s="10" t="s">
        <v>128</v>
      </c>
      <c r="C53" s="10">
        <v>5000</v>
      </c>
      <c r="D53" s="10">
        <v>2</v>
      </c>
      <c r="E53" s="10">
        <f>C53*D53</f>
        <v>10000</v>
      </c>
      <c r="F53" s="10"/>
      <c r="G53" s="4"/>
      <c r="H53" s="4"/>
      <c r="I53" s="4"/>
      <c r="J53" s="4"/>
      <c r="K53" s="4"/>
      <c r="L53" s="4"/>
      <c r="M53" s="4"/>
      <c r="N53" s="4"/>
      <c r="O53" s="4"/>
      <c r="P53" s="4"/>
      <c r="Q53" s="4"/>
      <c r="R53" s="4"/>
      <c r="S53" s="4"/>
      <c r="T53" s="4"/>
      <c r="U53" s="4"/>
      <c r="V53" s="4"/>
      <c r="W53" s="4"/>
      <c r="X53" s="4"/>
      <c r="Y53" s="4"/>
      <c r="Z53" s="4"/>
    </row>
    <row r="54" spans="1:26" ht="13.2">
      <c r="A54" s="10">
        <v>4</v>
      </c>
      <c r="B54" s="10" t="s">
        <v>132</v>
      </c>
      <c r="C54" s="10">
        <v>3000</v>
      </c>
      <c r="D54" s="10">
        <v>5</v>
      </c>
      <c r="E54" s="10">
        <f>C54*D54</f>
        <v>15000</v>
      </c>
      <c r="F54" s="10"/>
      <c r="G54" s="4"/>
      <c r="H54" s="4"/>
      <c r="I54" s="4"/>
      <c r="J54" s="4"/>
      <c r="K54" s="4"/>
      <c r="L54" s="4"/>
      <c r="M54" s="4"/>
      <c r="N54" s="4"/>
      <c r="O54" s="4"/>
      <c r="P54" s="4"/>
      <c r="Q54" s="4"/>
      <c r="R54" s="4"/>
      <c r="S54" s="4"/>
      <c r="T54" s="4"/>
      <c r="U54" s="4"/>
      <c r="V54" s="4"/>
      <c r="W54" s="4"/>
      <c r="X54" s="4"/>
      <c r="Y54" s="4"/>
      <c r="Z54" s="4"/>
    </row>
    <row r="55" spans="1:26" ht="13.2">
      <c r="A55" s="4"/>
      <c r="B55" s="8" t="s">
        <v>136</v>
      </c>
      <c r="C55" s="8"/>
      <c r="D55" s="8"/>
      <c r="E55" s="8">
        <f>SUM(E51:E53)</f>
        <v>38000</v>
      </c>
      <c r="F55" s="4"/>
      <c r="G55" s="4"/>
      <c r="H55" s="4"/>
      <c r="I55" s="4"/>
      <c r="J55" s="4"/>
      <c r="K55" s="4"/>
      <c r="L55" s="4"/>
      <c r="M55" s="4"/>
      <c r="N55" s="4"/>
      <c r="O55" s="4"/>
      <c r="P55" s="4"/>
      <c r="Q55" s="4"/>
      <c r="R55" s="4"/>
      <c r="S55" s="4"/>
      <c r="T55" s="4"/>
      <c r="U55" s="4"/>
      <c r="V55" s="4"/>
      <c r="W55" s="4"/>
      <c r="X55" s="4"/>
      <c r="Y55" s="4"/>
      <c r="Z55" s="4"/>
    </row>
    <row r="56" spans="1:26" ht="13.2">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2">
      <c r="A57" s="225" t="s">
        <v>103</v>
      </c>
      <c r="B57" s="226"/>
      <c r="C57" s="226"/>
      <c r="D57" s="226"/>
      <c r="E57" s="226"/>
      <c r="F57" s="227"/>
      <c r="G57" s="4"/>
      <c r="H57" s="4"/>
      <c r="I57" s="4"/>
      <c r="J57" s="4"/>
      <c r="K57" s="4"/>
      <c r="L57" s="4"/>
      <c r="M57" s="4"/>
      <c r="N57" s="4"/>
      <c r="O57" s="4"/>
      <c r="P57" s="4"/>
      <c r="Q57" s="4"/>
      <c r="R57" s="4"/>
      <c r="S57" s="4"/>
      <c r="T57" s="4"/>
      <c r="U57" s="4"/>
      <c r="V57" s="4"/>
      <c r="W57" s="4"/>
      <c r="X57" s="4"/>
      <c r="Y57" s="4"/>
      <c r="Z57" s="4"/>
    </row>
    <row r="58" spans="1:26" ht="13.2">
      <c r="A58" s="8" t="s">
        <v>44</v>
      </c>
      <c r="B58" s="8" t="s">
        <v>46</v>
      </c>
      <c r="C58" s="8" t="s">
        <v>47</v>
      </c>
      <c r="D58" s="8" t="s">
        <v>48</v>
      </c>
      <c r="E58" s="8" t="s">
        <v>9</v>
      </c>
      <c r="F58" s="8" t="s">
        <v>52</v>
      </c>
      <c r="G58" s="4"/>
      <c r="H58" s="4"/>
      <c r="I58" s="4"/>
      <c r="J58" s="4"/>
      <c r="K58" s="4"/>
      <c r="L58" s="4"/>
      <c r="M58" s="4"/>
      <c r="N58" s="4"/>
      <c r="O58" s="4"/>
      <c r="P58" s="4"/>
      <c r="Q58" s="4"/>
      <c r="R58" s="4"/>
      <c r="S58" s="4"/>
      <c r="T58" s="4"/>
      <c r="U58" s="4"/>
      <c r="V58" s="4"/>
      <c r="W58" s="4"/>
      <c r="X58" s="4"/>
      <c r="Y58" s="4"/>
      <c r="Z58" s="4"/>
    </row>
    <row r="59" spans="1:26" ht="13.2">
      <c r="A59" s="29">
        <v>1</v>
      </c>
      <c r="B59" s="29"/>
      <c r="C59" s="29"/>
      <c r="D59" s="29">
        <v>1</v>
      </c>
      <c r="E59" s="29">
        <v>0</v>
      </c>
      <c r="F59" s="30" t="s">
        <v>144</v>
      </c>
      <c r="G59" s="29" t="s">
        <v>151</v>
      </c>
      <c r="H59" s="29"/>
      <c r="I59" s="29"/>
      <c r="J59" s="29"/>
      <c r="K59" s="29"/>
      <c r="L59" s="29"/>
      <c r="M59" s="29"/>
      <c r="N59" s="29"/>
      <c r="O59" s="29"/>
      <c r="P59" s="29"/>
      <c r="Q59" s="29"/>
      <c r="R59" s="29"/>
      <c r="S59" s="29"/>
      <c r="T59" s="29"/>
      <c r="U59" s="29"/>
      <c r="V59" s="29"/>
      <c r="W59" s="29"/>
      <c r="X59" s="29"/>
      <c r="Y59" s="29"/>
      <c r="Z59" s="29"/>
    </row>
    <row r="60" spans="1:26" ht="13.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35.25" customHeight="1">
      <c r="A61" s="225" t="s">
        <v>110</v>
      </c>
      <c r="B61" s="226"/>
      <c r="C61" s="226"/>
      <c r="D61" s="226"/>
      <c r="E61" s="226"/>
      <c r="F61" s="227"/>
      <c r="G61" s="4"/>
      <c r="H61" s="4"/>
      <c r="I61" s="4"/>
      <c r="J61" s="4"/>
      <c r="K61" s="4"/>
      <c r="L61" s="4"/>
      <c r="M61" s="4"/>
      <c r="N61" s="4"/>
      <c r="O61" s="4"/>
      <c r="P61" s="4"/>
      <c r="Q61" s="4"/>
      <c r="R61" s="4"/>
      <c r="S61" s="4"/>
      <c r="T61" s="4"/>
      <c r="U61" s="4"/>
      <c r="V61" s="4"/>
      <c r="W61" s="4"/>
      <c r="X61" s="4"/>
      <c r="Y61" s="4"/>
      <c r="Z61" s="4"/>
    </row>
    <row r="62" spans="1:26" ht="13.2">
      <c r="A62" s="2"/>
      <c r="B62" s="4"/>
      <c r="C62" s="4"/>
      <c r="D62" s="4"/>
      <c r="E62" s="4"/>
      <c r="F62" s="4"/>
      <c r="G62" s="4"/>
      <c r="H62" s="4"/>
      <c r="I62" s="4"/>
      <c r="J62" s="4"/>
      <c r="K62" s="4"/>
      <c r="L62" s="4"/>
      <c r="M62" s="4"/>
      <c r="N62" s="4"/>
      <c r="O62" s="4"/>
      <c r="P62" s="4"/>
      <c r="Q62" s="4"/>
      <c r="R62" s="4"/>
      <c r="S62" s="4"/>
      <c r="T62" s="4"/>
      <c r="U62" s="4"/>
      <c r="V62" s="4"/>
      <c r="W62" s="4"/>
      <c r="X62" s="4"/>
      <c r="Y62" s="4"/>
      <c r="Z62" s="4"/>
    </row>
    <row r="63" spans="1:26" ht="13.2">
      <c r="A63" s="10" t="s">
        <v>155</v>
      </c>
      <c r="B63" s="4"/>
      <c r="C63" s="4"/>
      <c r="D63" s="4"/>
      <c r="E63" s="4"/>
      <c r="F63" s="4"/>
      <c r="G63" s="4"/>
      <c r="H63" s="4"/>
      <c r="I63" s="4"/>
      <c r="J63" s="4"/>
      <c r="K63" s="4"/>
      <c r="L63" s="4"/>
      <c r="M63" s="4"/>
      <c r="N63" s="4"/>
      <c r="O63" s="4"/>
      <c r="P63" s="4"/>
      <c r="Q63" s="4"/>
      <c r="R63" s="4"/>
      <c r="S63" s="4"/>
      <c r="T63" s="4"/>
      <c r="U63" s="4"/>
      <c r="V63" s="4"/>
      <c r="W63" s="4"/>
      <c r="X63" s="4"/>
      <c r="Y63" s="4"/>
      <c r="Z63" s="4"/>
    </row>
    <row r="64" spans="1:26" ht="13.2">
      <c r="A64" s="10" t="s">
        <v>156</v>
      </c>
      <c r="B64" s="4"/>
      <c r="C64" s="4"/>
      <c r="D64" s="4"/>
      <c r="E64" s="4"/>
      <c r="F64" s="4"/>
      <c r="G64" s="4"/>
      <c r="H64" s="4"/>
      <c r="I64" s="4"/>
      <c r="J64" s="4"/>
      <c r="K64" s="4"/>
      <c r="L64" s="4"/>
      <c r="M64" s="4"/>
      <c r="N64" s="4"/>
      <c r="O64" s="4"/>
      <c r="P64" s="4"/>
      <c r="Q64" s="4"/>
      <c r="R64" s="4"/>
      <c r="S64" s="4"/>
      <c r="T64" s="4"/>
      <c r="U64" s="4"/>
      <c r="V64" s="4"/>
      <c r="W64" s="4"/>
      <c r="X64" s="4"/>
      <c r="Y64" s="4"/>
      <c r="Z64" s="4"/>
    </row>
    <row r="65" spans="1:26" ht="13.2">
      <c r="A65" s="10" t="s">
        <v>130</v>
      </c>
      <c r="B65" s="4"/>
      <c r="C65" s="4"/>
      <c r="D65" s="4"/>
      <c r="E65" s="4"/>
      <c r="F65" s="4"/>
      <c r="G65" s="4"/>
      <c r="H65" s="4"/>
      <c r="I65" s="4"/>
      <c r="J65" s="4"/>
      <c r="K65" s="4"/>
      <c r="L65" s="4"/>
      <c r="M65" s="4"/>
      <c r="N65" s="4"/>
      <c r="O65" s="4"/>
      <c r="P65" s="4"/>
      <c r="Q65" s="4"/>
      <c r="R65" s="4"/>
      <c r="S65" s="4"/>
      <c r="T65" s="4"/>
      <c r="U65" s="4"/>
      <c r="V65" s="4"/>
      <c r="W65" s="4"/>
      <c r="X65" s="4"/>
      <c r="Y65" s="4"/>
      <c r="Z65" s="4"/>
    </row>
    <row r="66" spans="1:26" ht="13.2">
      <c r="A66" s="8" t="s">
        <v>44</v>
      </c>
      <c r="B66" s="8" t="s">
        <v>46</v>
      </c>
      <c r="C66" s="8" t="s">
        <v>47</v>
      </c>
      <c r="D66" s="8" t="s">
        <v>48</v>
      </c>
      <c r="E66" s="8" t="s">
        <v>9</v>
      </c>
      <c r="F66" s="8" t="s">
        <v>52</v>
      </c>
      <c r="G66" s="4"/>
      <c r="H66" s="4"/>
      <c r="I66" s="4"/>
      <c r="J66" s="4"/>
      <c r="K66" s="4"/>
      <c r="L66" s="4"/>
      <c r="M66" s="4"/>
      <c r="N66" s="4"/>
      <c r="O66" s="4"/>
      <c r="P66" s="4"/>
      <c r="Q66" s="4"/>
      <c r="R66" s="4"/>
      <c r="S66" s="4"/>
      <c r="T66" s="4"/>
      <c r="U66" s="4"/>
      <c r="V66" s="4"/>
      <c r="W66" s="4"/>
      <c r="X66" s="4"/>
      <c r="Y66" s="4"/>
      <c r="Z66" s="4"/>
    </row>
    <row r="67" spans="1:26" ht="13.2">
      <c r="A67" s="32">
        <v>1</v>
      </c>
      <c r="B67" s="32" t="s">
        <v>158</v>
      </c>
      <c r="C67" s="32">
        <v>50</v>
      </c>
      <c r="D67" s="32">
        <v>120</v>
      </c>
      <c r="E67" s="32">
        <f>C67*D67</f>
        <v>6000</v>
      </c>
      <c r="F67" s="32" t="s">
        <v>159</v>
      </c>
      <c r="G67" s="33"/>
      <c r="H67" s="33"/>
      <c r="I67" s="33"/>
      <c r="J67" s="33"/>
      <c r="K67" s="33"/>
      <c r="L67" s="33"/>
      <c r="M67" s="33"/>
      <c r="N67" s="33"/>
      <c r="O67" s="33"/>
      <c r="P67" s="33"/>
      <c r="Q67" s="33"/>
      <c r="R67" s="33"/>
      <c r="S67" s="33"/>
      <c r="T67" s="33"/>
      <c r="U67" s="33"/>
      <c r="V67" s="33"/>
      <c r="W67" s="33"/>
      <c r="X67" s="33"/>
      <c r="Y67" s="33"/>
      <c r="Z67" s="33"/>
    </row>
    <row r="68" spans="1:26" ht="13.2">
      <c r="A68" s="10">
        <v>3</v>
      </c>
      <c r="B68" s="10" t="s">
        <v>160</v>
      </c>
      <c r="C68" s="10"/>
      <c r="D68" s="10"/>
      <c r="E68" s="10">
        <v>7000</v>
      </c>
      <c r="F68" s="10"/>
      <c r="G68" s="4"/>
      <c r="H68" s="4"/>
      <c r="I68" s="4"/>
      <c r="J68" s="4"/>
      <c r="K68" s="4"/>
      <c r="L68" s="4"/>
      <c r="M68" s="4"/>
      <c r="N68" s="4"/>
      <c r="O68" s="4"/>
      <c r="P68" s="4"/>
      <c r="Q68" s="4"/>
      <c r="R68" s="4"/>
      <c r="S68" s="4"/>
      <c r="T68" s="4"/>
      <c r="U68" s="4"/>
      <c r="V68" s="4"/>
      <c r="W68" s="4"/>
      <c r="X68" s="4"/>
      <c r="Y68" s="4"/>
      <c r="Z68" s="4"/>
    </row>
    <row r="69" spans="1:26" ht="13.2">
      <c r="A69" s="10">
        <v>4</v>
      </c>
      <c r="B69" s="10" t="s">
        <v>162</v>
      </c>
      <c r="C69" s="10"/>
      <c r="D69" s="10"/>
      <c r="E69" s="10">
        <v>5000</v>
      </c>
      <c r="F69" s="10"/>
      <c r="G69" s="4"/>
      <c r="H69" s="4"/>
      <c r="I69" s="4"/>
      <c r="J69" s="4"/>
      <c r="K69" s="4"/>
      <c r="L69" s="4"/>
      <c r="M69" s="4"/>
      <c r="N69" s="4"/>
      <c r="O69" s="4"/>
      <c r="P69" s="4"/>
      <c r="Q69" s="4"/>
      <c r="R69" s="4"/>
      <c r="S69" s="4"/>
      <c r="T69" s="4"/>
      <c r="U69" s="4"/>
      <c r="V69" s="4"/>
      <c r="W69" s="4"/>
      <c r="X69" s="4"/>
      <c r="Y69" s="4"/>
      <c r="Z69" s="4"/>
    </row>
    <row r="70" spans="1:26" ht="13.2">
      <c r="A70" s="10">
        <v>5</v>
      </c>
      <c r="B70" s="10" t="s">
        <v>163</v>
      </c>
      <c r="C70" s="10"/>
      <c r="D70" s="10"/>
      <c r="E70" s="10">
        <v>3000</v>
      </c>
      <c r="F70" s="10"/>
      <c r="G70" s="4"/>
      <c r="H70" s="4"/>
      <c r="I70" s="4"/>
      <c r="J70" s="4"/>
      <c r="K70" s="4"/>
      <c r="L70" s="4"/>
      <c r="M70" s="4"/>
      <c r="N70" s="4"/>
      <c r="O70" s="4"/>
      <c r="P70" s="4"/>
      <c r="Q70" s="4"/>
      <c r="R70" s="4"/>
      <c r="S70" s="4"/>
      <c r="T70" s="4"/>
      <c r="U70" s="4"/>
      <c r="V70" s="4"/>
      <c r="W70" s="4"/>
      <c r="X70" s="4"/>
      <c r="Y70" s="4"/>
      <c r="Z70" s="4"/>
    </row>
    <row r="71" spans="1:26" ht="13.2">
      <c r="A71" s="10">
        <v>8</v>
      </c>
      <c r="B71" s="10" t="s">
        <v>164</v>
      </c>
      <c r="C71" s="10">
        <v>50</v>
      </c>
      <c r="D71" s="10">
        <v>30</v>
      </c>
      <c r="E71" s="10">
        <f>C71*D71</f>
        <v>1500</v>
      </c>
      <c r="F71" s="10"/>
      <c r="G71" s="4"/>
      <c r="H71" s="4"/>
      <c r="I71" s="4"/>
      <c r="J71" s="4"/>
      <c r="K71" s="4"/>
      <c r="L71" s="4"/>
      <c r="M71" s="4"/>
      <c r="N71" s="4"/>
      <c r="O71" s="4"/>
      <c r="P71" s="4"/>
      <c r="Q71" s="4"/>
      <c r="R71" s="4"/>
      <c r="S71" s="4"/>
      <c r="T71" s="4"/>
      <c r="U71" s="4"/>
      <c r="V71" s="4"/>
      <c r="W71" s="4"/>
      <c r="X71" s="4"/>
      <c r="Y71" s="4"/>
      <c r="Z71" s="4"/>
    </row>
    <row r="72" spans="1:26" ht="13.2">
      <c r="A72" s="2"/>
      <c r="B72" s="10" t="s">
        <v>136</v>
      </c>
      <c r="C72" s="10"/>
      <c r="D72" s="10"/>
      <c r="E72" s="10">
        <f>SUM(E67:E71)</f>
        <v>22500</v>
      </c>
      <c r="F72" s="4"/>
      <c r="G72" s="4">
        <f>E72</f>
        <v>22500</v>
      </c>
      <c r="H72" s="4"/>
      <c r="I72" s="4"/>
      <c r="J72" s="4"/>
      <c r="K72" s="4"/>
      <c r="L72" s="4"/>
      <c r="M72" s="4"/>
      <c r="N72" s="4"/>
      <c r="O72" s="4"/>
      <c r="P72" s="4"/>
      <c r="Q72" s="4"/>
      <c r="R72" s="4"/>
      <c r="S72" s="4"/>
      <c r="T72" s="4"/>
      <c r="U72" s="4"/>
      <c r="V72" s="4"/>
      <c r="W72" s="4"/>
      <c r="X72" s="4"/>
      <c r="Y72" s="4"/>
      <c r="Z72" s="4"/>
    </row>
    <row r="73" spans="1:26" ht="13.2">
      <c r="A73" s="2"/>
      <c r="B73" s="4"/>
      <c r="C73" s="4"/>
      <c r="D73" s="4"/>
      <c r="E73" s="4"/>
      <c r="F73" s="4"/>
      <c r="G73" s="4"/>
      <c r="H73" s="4"/>
      <c r="I73" s="4"/>
      <c r="J73" s="4"/>
      <c r="K73" s="4"/>
      <c r="L73" s="4"/>
      <c r="M73" s="4"/>
      <c r="N73" s="4"/>
      <c r="O73" s="4"/>
      <c r="P73" s="4"/>
      <c r="Q73" s="4"/>
      <c r="R73" s="4"/>
      <c r="S73" s="4"/>
      <c r="T73" s="4"/>
      <c r="U73" s="4"/>
      <c r="V73" s="4"/>
      <c r="W73" s="4"/>
      <c r="X73" s="4"/>
      <c r="Y73" s="4"/>
      <c r="Z73" s="4"/>
    </row>
    <row r="74" spans="1:26" ht="13.2">
      <c r="A74" s="10" t="s">
        <v>166</v>
      </c>
      <c r="B74" s="4"/>
      <c r="C74" s="4"/>
      <c r="D74" s="4"/>
      <c r="E74" s="4"/>
      <c r="F74" s="4"/>
      <c r="G74" s="4"/>
      <c r="H74" s="4"/>
      <c r="I74" s="4"/>
      <c r="J74" s="4"/>
      <c r="K74" s="4"/>
      <c r="L74" s="4"/>
      <c r="M74" s="4"/>
      <c r="N74" s="4"/>
      <c r="O74" s="4"/>
      <c r="P74" s="4"/>
      <c r="Q74" s="4"/>
      <c r="R74" s="4"/>
      <c r="S74" s="4"/>
      <c r="T74" s="4"/>
      <c r="U74" s="4"/>
      <c r="V74" s="4"/>
      <c r="W74" s="4"/>
      <c r="X74" s="4"/>
      <c r="Y74" s="4"/>
      <c r="Z74" s="4"/>
    </row>
    <row r="75" spans="1:26" ht="13.2">
      <c r="A75" s="10" t="s">
        <v>167</v>
      </c>
      <c r="B75" s="4"/>
      <c r="C75" s="4"/>
      <c r="D75" s="4"/>
      <c r="E75" s="4"/>
      <c r="F75" s="4"/>
      <c r="G75" s="4"/>
      <c r="H75" s="4"/>
      <c r="I75" s="4"/>
      <c r="J75" s="4"/>
      <c r="K75" s="4"/>
      <c r="L75" s="4"/>
      <c r="M75" s="4"/>
      <c r="N75" s="4"/>
      <c r="O75" s="4"/>
      <c r="P75" s="4"/>
      <c r="Q75" s="4"/>
      <c r="R75" s="4"/>
      <c r="S75" s="4"/>
      <c r="T75" s="4"/>
      <c r="U75" s="4"/>
      <c r="V75" s="4"/>
      <c r="W75" s="4"/>
      <c r="X75" s="4"/>
      <c r="Y75" s="4"/>
      <c r="Z75" s="4"/>
    </row>
    <row r="76" spans="1:26" ht="13.2">
      <c r="A76" s="10" t="s">
        <v>130</v>
      </c>
      <c r="B76" s="4"/>
      <c r="C76" s="4"/>
      <c r="D76" s="4"/>
      <c r="E76" s="4"/>
      <c r="F76" s="4"/>
      <c r="G76" s="4"/>
      <c r="H76" s="4"/>
      <c r="I76" s="4"/>
      <c r="J76" s="4"/>
      <c r="K76" s="4"/>
      <c r="L76" s="4"/>
      <c r="M76" s="4"/>
      <c r="N76" s="4"/>
      <c r="O76" s="4"/>
      <c r="P76" s="4"/>
      <c r="Q76" s="4"/>
      <c r="R76" s="4"/>
      <c r="S76" s="4"/>
      <c r="T76" s="4"/>
      <c r="U76" s="4"/>
      <c r="V76" s="4"/>
      <c r="W76" s="4"/>
      <c r="X76" s="4"/>
      <c r="Y76" s="4"/>
      <c r="Z76" s="4"/>
    </row>
    <row r="77" spans="1:26" ht="13.2">
      <c r="A77" s="8" t="s">
        <v>44</v>
      </c>
      <c r="B77" s="8" t="s">
        <v>46</v>
      </c>
      <c r="C77" s="8" t="s">
        <v>47</v>
      </c>
      <c r="D77" s="8" t="s">
        <v>48</v>
      </c>
      <c r="E77" s="8" t="s">
        <v>9</v>
      </c>
      <c r="F77" s="8" t="s">
        <v>52</v>
      </c>
      <c r="G77" s="4"/>
      <c r="H77" s="4"/>
      <c r="I77" s="4"/>
      <c r="J77" s="4"/>
      <c r="K77" s="4"/>
      <c r="L77" s="4"/>
      <c r="M77" s="4"/>
      <c r="N77" s="4"/>
      <c r="O77" s="4"/>
      <c r="P77" s="4"/>
      <c r="Q77" s="4"/>
      <c r="R77" s="4"/>
      <c r="S77" s="4"/>
      <c r="T77" s="4"/>
      <c r="U77" s="4"/>
      <c r="V77" s="4"/>
      <c r="W77" s="4"/>
      <c r="X77" s="4"/>
      <c r="Y77" s="4"/>
      <c r="Z77" s="4"/>
    </row>
    <row r="78" spans="1:26" ht="13.2">
      <c r="A78" s="8">
        <v>1</v>
      </c>
      <c r="B78" s="10" t="s">
        <v>160</v>
      </c>
      <c r="C78" s="10"/>
      <c r="D78" s="10"/>
      <c r="E78" s="10">
        <v>7000</v>
      </c>
      <c r="F78" s="36" t="s">
        <v>170</v>
      </c>
      <c r="G78" s="4"/>
      <c r="H78" s="4"/>
      <c r="I78" s="4"/>
      <c r="J78" s="4"/>
      <c r="K78" s="4"/>
      <c r="L78" s="4"/>
      <c r="M78" s="4"/>
      <c r="N78" s="4"/>
      <c r="O78" s="4"/>
      <c r="P78" s="4"/>
      <c r="Q78" s="4"/>
      <c r="R78" s="4"/>
      <c r="S78" s="4"/>
      <c r="T78" s="4"/>
      <c r="U78" s="4"/>
      <c r="V78" s="4"/>
      <c r="W78" s="4"/>
      <c r="X78" s="4"/>
      <c r="Y78" s="4"/>
      <c r="Z78" s="4"/>
    </row>
    <row r="79" spans="1:26" ht="13.2">
      <c r="A79" s="8">
        <v>2</v>
      </c>
      <c r="B79" s="10" t="s">
        <v>162</v>
      </c>
      <c r="C79" s="10"/>
      <c r="D79" s="10"/>
      <c r="E79" s="10">
        <v>5000</v>
      </c>
      <c r="F79" s="10"/>
      <c r="G79" s="4"/>
      <c r="H79" s="4"/>
      <c r="I79" s="4"/>
      <c r="J79" s="4"/>
      <c r="K79" s="4"/>
      <c r="L79" s="4"/>
      <c r="M79" s="4"/>
      <c r="N79" s="4"/>
      <c r="O79" s="4"/>
      <c r="P79" s="4"/>
      <c r="Q79" s="4"/>
      <c r="R79" s="4"/>
      <c r="S79" s="4"/>
      <c r="T79" s="4"/>
      <c r="U79" s="4"/>
      <c r="V79" s="4"/>
      <c r="W79" s="4"/>
      <c r="X79" s="4"/>
      <c r="Y79" s="4"/>
      <c r="Z79" s="4"/>
    </row>
    <row r="80" spans="1:26" ht="13.2">
      <c r="A80" s="8">
        <v>3</v>
      </c>
      <c r="B80" s="10" t="s">
        <v>163</v>
      </c>
      <c r="C80" s="10"/>
      <c r="D80" s="10"/>
      <c r="E80" s="10">
        <v>3000</v>
      </c>
      <c r="F80" s="10"/>
      <c r="G80" s="4"/>
      <c r="H80" s="4"/>
      <c r="I80" s="4"/>
      <c r="J80" s="4"/>
      <c r="K80" s="4"/>
      <c r="L80" s="4"/>
      <c r="M80" s="4"/>
      <c r="N80" s="4"/>
      <c r="O80" s="4"/>
      <c r="P80" s="4"/>
      <c r="Q80" s="4"/>
      <c r="R80" s="4"/>
      <c r="S80" s="4"/>
      <c r="T80" s="4"/>
      <c r="U80" s="4"/>
      <c r="V80" s="4"/>
      <c r="W80" s="4"/>
      <c r="X80" s="4"/>
      <c r="Y80" s="4"/>
      <c r="Z80" s="4"/>
    </row>
    <row r="81" spans="1:26" ht="13.2">
      <c r="A81" s="8">
        <v>4</v>
      </c>
      <c r="B81" s="10" t="s">
        <v>174</v>
      </c>
      <c r="C81" s="10"/>
      <c r="D81" s="10"/>
      <c r="E81" s="10">
        <v>15000</v>
      </c>
      <c r="F81" s="10"/>
      <c r="G81" s="4"/>
      <c r="H81" s="4"/>
      <c r="I81" s="4"/>
      <c r="J81" s="4"/>
      <c r="K81" s="4"/>
      <c r="L81" s="4"/>
      <c r="M81" s="4"/>
      <c r="N81" s="4"/>
      <c r="O81" s="4"/>
      <c r="P81" s="4"/>
      <c r="Q81" s="4"/>
      <c r="R81" s="4"/>
      <c r="S81" s="4"/>
      <c r="T81" s="4"/>
      <c r="U81" s="4"/>
      <c r="V81" s="4"/>
      <c r="W81" s="4"/>
      <c r="X81" s="4"/>
      <c r="Y81" s="4"/>
      <c r="Z81" s="4"/>
    </row>
    <row r="82" spans="1:26" ht="13.2">
      <c r="A82" s="2"/>
      <c r="B82" s="10" t="s">
        <v>136</v>
      </c>
      <c r="C82" s="10"/>
      <c r="D82" s="10"/>
      <c r="E82" s="10">
        <f>SUM(E78:E81)</f>
        <v>30000</v>
      </c>
      <c r="F82" s="4"/>
      <c r="G82" s="4">
        <f>E82</f>
        <v>30000</v>
      </c>
      <c r="H82" s="4"/>
      <c r="I82" s="4"/>
      <c r="J82" s="4"/>
      <c r="K82" s="4"/>
      <c r="L82" s="4"/>
      <c r="M82" s="4"/>
      <c r="N82" s="4"/>
      <c r="O82" s="4"/>
      <c r="P82" s="4"/>
      <c r="Q82" s="4"/>
      <c r="R82" s="4"/>
      <c r="S82" s="4"/>
      <c r="T82" s="4"/>
      <c r="U82" s="4"/>
      <c r="V82" s="4"/>
      <c r="W82" s="4"/>
      <c r="X82" s="4"/>
      <c r="Y82" s="4"/>
      <c r="Z82" s="4"/>
    </row>
    <row r="83" spans="1:26" ht="13.2">
      <c r="A83" s="2"/>
      <c r="B83" s="4"/>
      <c r="C83" s="4"/>
      <c r="D83" s="4"/>
      <c r="E83" s="4"/>
      <c r="F83" s="4"/>
      <c r="G83" s="4"/>
      <c r="H83" s="4"/>
      <c r="I83" s="4"/>
      <c r="J83" s="4"/>
      <c r="K83" s="4"/>
      <c r="L83" s="4"/>
      <c r="M83" s="4"/>
      <c r="N83" s="4"/>
      <c r="O83" s="4"/>
      <c r="P83" s="4"/>
      <c r="Q83" s="4"/>
      <c r="R83" s="4"/>
      <c r="S83" s="4"/>
      <c r="T83" s="4"/>
      <c r="U83" s="4"/>
      <c r="V83" s="4"/>
      <c r="W83" s="4"/>
      <c r="X83" s="4"/>
      <c r="Y83" s="4"/>
      <c r="Z83" s="4"/>
    </row>
    <row r="84" spans="1:26" ht="13.2">
      <c r="A84" s="10" t="s">
        <v>176</v>
      </c>
      <c r="B84" s="4"/>
      <c r="C84" s="4"/>
      <c r="D84" s="4"/>
      <c r="E84" s="4"/>
      <c r="F84" s="4"/>
      <c r="G84" s="4"/>
      <c r="H84" s="4"/>
      <c r="I84" s="4"/>
      <c r="J84" s="4"/>
      <c r="K84" s="4"/>
      <c r="L84" s="4"/>
      <c r="M84" s="4"/>
      <c r="N84" s="4"/>
      <c r="O84" s="4"/>
      <c r="P84" s="4"/>
      <c r="Q84" s="4"/>
      <c r="R84" s="4"/>
      <c r="S84" s="4"/>
      <c r="T84" s="4"/>
      <c r="U84" s="4"/>
      <c r="V84" s="4"/>
      <c r="W84" s="4"/>
      <c r="X84" s="4"/>
      <c r="Y84" s="4"/>
      <c r="Z84" s="4"/>
    </row>
    <row r="85" spans="1:26" ht="13.2">
      <c r="A85" s="10" t="s">
        <v>177</v>
      </c>
      <c r="B85" s="4"/>
      <c r="C85" s="4"/>
      <c r="D85" s="4"/>
      <c r="E85" s="4"/>
      <c r="F85" s="4"/>
      <c r="G85" s="4"/>
      <c r="H85" s="4"/>
      <c r="I85" s="4"/>
      <c r="J85" s="4"/>
      <c r="K85" s="4"/>
      <c r="L85" s="4"/>
      <c r="M85" s="4"/>
      <c r="N85" s="4"/>
      <c r="O85" s="4"/>
      <c r="P85" s="4"/>
      <c r="Q85" s="4"/>
      <c r="R85" s="4"/>
      <c r="S85" s="4"/>
      <c r="T85" s="4"/>
      <c r="U85" s="4"/>
      <c r="V85" s="4"/>
      <c r="W85" s="4"/>
      <c r="X85" s="4"/>
      <c r="Y85" s="4"/>
      <c r="Z85" s="4"/>
    </row>
    <row r="86" spans="1:26" ht="13.2">
      <c r="A86" s="10" t="s">
        <v>130</v>
      </c>
      <c r="B86" s="4"/>
      <c r="C86" s="4"/>
      <c r="D86" s="4"/>
      <c r="E86" s="4"/>
      <c r="F86" s="4"/>
      <c r="G86" s="4"/>
      <c r="H86" s="4"/>
      <c r="I86" s="4"/>
      <c r="J86" s="4"/>
      <c r="K86" s="4"/>
      <c r="L86" s="4"/>
      <c r="M86" s="4"/>
      <c r="N86" s="4"/>
      <c r="O86" s="4"/>
      <c r="P86" s="4"/>
      <c r="Q86" s="4"/>
      <c r="R86" s="4"/>
      <c r="S86" s="4"/>
      <c r="T86" s="4"/>
      <c r="U86" s="4"/>
      <c r="V86" s="4"/>
      <c r="W86" s="4"/>
      <c r="X86" s="4"/>
      <c r="Y86" s="4"/>
      <c r="Z86" s="4"/>
    </row>
    <row r="87" spans="1:26" ht="13.2">
      <c r="A87" s="8" t="s">
        <v>178</v>
      </c>
      <c r="B87" s="8" t="s">
        <v>46</v>
      </c>
      <c r="C87" s="8" t="s">
        <v>47</v>
      </c>
      <c r="D87" s="8" t="s">
        <v>48</v>
      </c>
      <c r="E87" s="8" t="s">
        <v>9</v>
      </c>
      <c r="F87" s="8" t="s">
        <v>52</v>
      </c>
      <c r="G87" s="4"/>
      <c r="H87" s="4"/>
      <c r="I87" s="4"/>
      <c r="J87" s="4"/>
      <c r="K87" s="4"/>
      <c r="L87" s="4"/>
      <c r="M87" s="4"/>
      <c r="N87" s="4"/>
      <c r="O87" s="4"/>
      <c r="P87" s="4"/>
      <c r="Q87" s="4"/>
      <c r="R87" s="4"/>
      <c r="S87" s="4"/>
      <c r="T87" s="4"/>
      <c r="U87" s="4"/>
      <c r="V87" s="4"/>
      <c r="W87" s="4"/>
      <c r="X87" s="4"/>
      <c r="Y87" s="4"/>
      <c r="Z87" s="4"/>
    </row>
    <row r="88" spans="1:26" ht="13.2">
      <c r="A88" s="10">
        <v>1</v>
      </c>
      <c r="B88" s="10" t="s">
        <v>179</v>
      </c>
      <c r="C88" s="10"/>
      <c r="D88" s="10"/>
      <c r="E88" s="10">
        <v>7000</v>
      </c>
      <c r="F88" s="10"/>
      <c r="G88" s="4"/>
      <c r="H88" s="4"/>
      <c r="I88" s="4"/>
      <c r="J88" s="4"/>
      <c r="K88" s="4"/>
      <c r="L88" s="4"/>
      <c r="M88" s="4"/>
      <c r="N88" s="4"/>
      <c r="O88" s="4"/>
      <c r="P88" s="4"/>
      <c r="Q88" s="4"/>
      <c r="R88" s="4"/>
      <c r="S88" s="4"/>
      <c r="T88" s="4"/>
      <c r="U88" s="4"/>
      <c r="V88" s="4"/>
      <c r="W88" s="4"/>
      <c r="X88" s="4"/>
      <c r="Y88" s="4"/>
      <c r="Z88" s="4"/>
    </row>
    <row r="89" spans="1:26" ht="13.2">
      <c r="A89" s="10">
        <v>2</v>
      </c>
      <c r="B89" s="10" t="s">
        <v>181</v>
      </c>
      <c r="C89" s="10"/>
      <c r="D89" s="10"/>
      <c r="E89" s="10">
        <v>5000</v>
      </c>
      <c r="F89" s="10"/>
      <c r="G89" s="4"/>
      <c r="H89" s="4"/>
      <c r="I89" s="4"/>
      <c r="J89" s="4"/>
      <c r="K89" s="4"/>
      <c r="L89" s="4"/>
      <c r="M89" s="4"/>
      <c r="N89" s="4"/>
      <c r="O89" s="4"/>
      <c r="P89" s="4"/>
      <c r="Q89" s="4"/>
      <c r="R89" s="4"/>
      <c r="S89" s="4"/>
      <c r="T89" s="4"/>
      <c r="U89" s="4"/>
      <c r="V89" s="4"/>
      <c r="W89" s="4"/>
      <c r="X89" s="4"/>
      <c r="Y89" s="4"/>
      <c r="Z89" s="4"/>
    </row>
    <row r="90" spans="1:26" ht="13.2">
      <c r="A90" s="10">
        <v>3</v>
      </c>
      <c r="B90" s="10" t="s">
        <v>182</v>
      </c>
      <c r="C90" s="10"/>
      <c r="D90" s="10"/>
      <c r="E90" s="10">
        <v>3000</v>
      </c>
      <c r="F90" s="10"/>
      <c r="G90" s="4"/>
      <c r="H90" s="4"/>
      <c r="I90" s="4"/>
      <c r="J90" s="4"/>
      <c r="K90" s="4"/>
      <c r="L90" s="4"/>
      <c r="M90" s="4"/>
      <c r="N90" s="4"/>
      <c r="O90" s="4"/>
      <c r="P90" s="4"/>
      <c r="Q90" s="4"/>
      <c r="R90" s="4"/>
      <c r="S90" s="4"/>
      <c r="T90" s="4"/>
      <c r="U90" s="4"/>
      <c r="V90" s="4"/>
      <c r="W90" s="4"/>
      <c r="X90" s="4"/>
      <c r="Y90" s="4"/>
      <c r="Z90" s="4"/>
    </row>
    <row r="91" spans="1:26" ht="13.2">
      <c r="A91" s="4"/>
      <c r="B91" s="10" t="s">
        <v>136</v>
      </c>
      <c r="C91" s="10"/>
      <c r="D91" s="10"/>
      <c r="E91" s="10">
        <f>SUM(E85:E90)</f>
        <v>15000</v>
      </c>
      <c r="F91" s="4"/>
      <c r="G91" s="4">
        <f>E91</f>
        <v>15000</v>
      </c>
      <c r="H91" s="4"/>
      <c r="I91" s="4"/>
      <c r="J91" s="4"/>
      <c r="K91" s="4"/>
      <c r="L91" s="4"/>
      <c r="M91" s="4"/>
      <c r="N91" s="4"/>
      <c r="O91" s="4"/>
      <c r="P91" s="4"/>
      <c r="Q91" s="4"/>
      <c r="R91" s="4"/>
      <c r="S91" s="4"/>
      <c r="T91" s="4"/>
      <c r="U91" s="4"/>
      <c r="V91" s="4"/>
      <c r="W91" s="4"/>
      <c r="X91" s="4"/>
      <c r="Y91" s="4"/>
      <c r="Z91" s="4"/>
    </row>
    <row r="92" spans="1:26" ht="13.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c r="A93" s="10" t="s">
        <v>184</v>
      </c>
      <c r="B93" s="4"/>
      <c r="C93" s="4"/>
      <c r="D93" s="4"/>
      <c r="E93" s="4"/>
      <c r="F93" s="4"/>
      <c r="G93" s="4"/>
      <c r="H93" s="4"/>
      <c r="I93" s="4"/>
      <c r="J93" s="4"/>
      <c r="K93" s="4"/>
      <c r="L93" s="4"/>
      <c r="M93" s="4"/>
      <c r="N93" s="4"/>
      <c r="O93" s="4"/>
      <c r="P93" s="4"/>
      <c r="Q93" s="4"/>
      <c r="R93" s="4"/>
      <c r="S93" s="4"/>
      <c r="T93" s="4"/>
      <c r="U93" s="4"/>
      <c r="V93" s="4"/>
      <c r="W93" s="4"/>
      <c r="X93" s="4"/>
      <c r="Y93" s="4"/>
      <c r="Z93" s="4"/>
    </row>
    <row r="94" spans="1:26" ht="13.2">
      <c r="A94" s="10" t="s">
        <v>167</v>
      </c>
      <c r="B94" s="4"/>
      <c r="C94" s="4"/>
      <c r="D94" s="4"/>
      <c r="E94" s="4"/>
      <c r="F94" s="4"/>
      <c r="G94" s="4"/>
      <c r="H94" s="4"/>
      <c r="I94" s="4"/>
      <c r="J94" s="4"/>
      <c r="K94" s="4"/>
      <c r="L94" s="4"/>
      <c r="M94" s="4"/>
      <c r="N94" s="4"/>
      <c r="O94" s="4"/>
      <c r="P94" s="4"/>
      <c r="Q94" s="4"/>
      <c r="R94" s="4"/>
      <c r="S94" s="4"/>
      <c r="T94" s="4"/>
      <c r="U94" s="4"/>
      <c r="V94" s="4"/>
      <c r="W94" s="4"/>
      <c r="X94" s="4"/>
      <c r="Y94" s="4"/>
      <c r="Z94" s="4"/>
    </row>
    <row r="95" spans="1:26" ht="13.2">
      <c r="A95" s="10" t="s">
        <v>130</v>
      </c>
      <c r="B95" s="4"/>
      <c r="C95" s="4"/>
      <c r="D95" s="4"/>
      <c r="E95" s="4"/>
      <c r="F95" s="4"/>
      <c r="G95" s="4"/>
      <c r="H95" s="4"/>
      <c r="I95" s="4"/>
      <c r="J95" s="4"/>
      <c r="K95" s="4"/>
      <c r="L95" s="4"/>
      <c r="M95" s="4"/>
      <c r="N95" s="4"/>
      <c r="O95" s="4"/>
      <c r="P95" s="4"/>
      <c r="Q95" s="4"/>
      <c r="R95" s="4"/>
      <c r="S95" s="4"/>
      <c r="T95" s="4"/>
      <c r="U95" s="4"/>
      <c r="V95" s="4"/>
      <c r="W95" s="4"/>
      <c r="X95" s="4"/>
      <c r="Y95" s="4"/>
      <c r="Z95" s="4"/>
    </row>
    <row r="96" spans="1:26" ht="13.2">
      <c r="A96" s="10" t="s">
        <v>178</v>
      </c>
      <c r="B96" s="10" t="s">
        <v>46</v>
      </c>
      <c r="C96" s="10" t="s">
        <v>47</v>
      </c>
      <c r="D96" s="10" t="s">
        <v>48</v>
      </c>
      <c r="E96" s="10" t="s">
        <v>9</v>
      </c>
      <c r="F96" s="10" t="s">
        <v>52</v>
      </c>
      <c r="G96" s="4"/>
      <c r="H96" s="4"/>
      <c r="I96" s="4"/>
      <c r="J96" s="4"/>
      <c r="K96" s="4"/>
      <c r="L96" s="4"/>
      <c r="M96" s="4"/>
      <c r="N96" s="4"/>
      <c r="O96" s="4"/>
      <c r="P96" s="4"/>
      <c r="Q96" s="4"/>
      <c r="R96" s="4"/>
      <c r="S96" s="4"/>
      <c r="T96" s="4"/>
      <c r="U96" s="4"/>
      <c r="V96" s="4"/>
      <c r="W96" s="4"/>
      <c r="X96" s="4"/>
      <c r="Y96" s="4"/>
      <c r="Z96" s="4"/>
    </row>
    <row r="97" spans="1:26" ht="13.2">
      <c r="A97" s="10">
        <v>1</v>
      </c>
      <c r="B97" s="10" t="s">
        <v>179</v>
      </c>
      <c r="C97" s="10"/>
      <c r="D97" s="10"/>
      <c r="E97" s="10">
        <v>7000</v>
      </c>
      <c r="F97" s="10"/>
      <c r="G97" s="4"/>
      <c r="H97" s="4"/>
      <c r="I97" s="4"/>
      <c r="J97" s="4"/>
      <c r="K97" s="4"/>
      <c r="L97" s="4"/>
      <c r="M97" s="4"/>
      <c r="N97" s="4"/>
      <c r="O97" s="4"/>
      <c r="P97" s="4"/>
      <c r="Q97" s="4"/>
      <c r="R97" s="4"/>
      <c r="S97" s="4"/>
      <c r="T97" s="4"/>
      <c r="U97" s="4"/>
      <c r="V97" s="4"/>
      <c r="W97" s="4"/>
      <c r="X97" s="4"/>
      <c r="Y97" s="4"/>
      <c r="Z97" s="4"/>
    </row>
    <row r="98" spans="1:26" ht="13.2">
      <c r="A98" s="10">
        <v>2</v>
      </c>
      <c r="B98" s="10" t="s">
        <v>181</v>
      </c>
      <c r="C98" s="10"/>
      <c r="D98" s="10"/>
      <c r="E98" s="10">
        <v>5000</v>
      </c>
      <c r="F98" s="10"/>
      <c r="G98" s="4"/>
      <c r="H98" s="4"/>
      <c r="I98" s="4"/>
      <c r="J98" s="4"/>
      <c r="K98" s="4"/>
      <c r="L98" s="4"/>
      <c r="M98" s="4"/>
      <c r="N98" s="4"/>
      <c r="O98" s="4"/>
      <c r="P98" s="4"/>
      <c r="Q98" s="4"/>
      <c r="R98" s="4"/>
      <c r="S98" s="4"/>
      <c r="T98" s="4"/>
      <c r="U98" s="4"/>
      <c r="V98" s="4"/>
      <c r="W98" s="4"/>
      <c r="X98" s="4"/>
      <c r="Y98" s="4"/>
      <c r="Z98" s="4"/>
    </row>
    <row r="99" spans="1:26" ht="13.2">
      <c r="A99" s="10">
        <v>3</v>
      </c>
      <c r="B99" s="10" t="s">
        <v>182</v>
      </c>
      <c r="C99" s="10"/>
      <c r="D99" s="10"/>
      <c r="E99" s="10">
        <v>3000</v>
      </c>
      <c r="F99" s="10"/>
      <c r="G99" s="4"/>
      <c r="H99" s="4"/>
      <c r="I99" s="4"/>
      <c r="J99" s="4"/>
      <c r="K99" s="4"/>
      <c r="L99" s="4"/>
      <c r="M99" s="4"/>
      <c r="N99" s="4"/>
      <c r="O99" s="4"/>
      <c r="P99" s="4"/>
      <c r="Q99" s="4"/>
      <c r="R99" s="4"/>
      <c r="S99" s="4"/>
      <c r="T99" s="4"/>
      <c r="U99" s="4"/>
      <c r="V99" s="4"/>
      <c r="W99" s="4"/>
      <c r="X99" s="4"/>
      <c r="Y99" s="4"/>
      <c r="Z99" s="4"/>
    </row>
    <row r="100" spans="1:26" ht="13.2">
      <c r="A100" s="4"/>
      <c r="B100" s="10" t="s">
        <v>136</v>
      </c>
      <c r="C100" s="10"/>
      <c r="D100" s="10"/>
      <c r="E100" s="10">
        <f>SUM(E94:E99)</f>
        <v>15000</v>
      </c>
      <c r="F100" s="4"/>
      <c r="G100" s="4">
        <f>E100</f>
        <v>15000</v>
      </c>
      <c r="H100" s="4"/>
      <c r="I100" s="4"/>
      <c r="J100" s="4"/>
      <c r="K100" s="4"/>
      <c r="L100" s="4"/>
      <c r="M100" s="4"/>
      <c r="N100" s="4"/>
      <c r="O100" s="4"/>
      <c r="P100" s="4"/>
      <c r="Q100" s="4"/>
      <c r="R100" s="4"/>
      <c r="S100" s="4"/>
      <c r="T100" s="4"/>
      <c r="U100" s="4"/>
      <c r="V100" s="4"/>
      <c r="W100" s="4"/>
      <c r="X100" s="4"/>
      <c r="Y100" s="4"/>
      <c r="Z100" s="4"/>
    </row>
    <row r="101" spans="1:26" ht="13.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c r="A102" s="10" t="s">
        <v>189</v>
      </c>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c r="A103" s="10" t="s">
        <v>177</v>
      </c>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c r="A104" s="10" t="s">
        <v>130</v>
      </c>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c r="A105" s="10" t="s">
        <v>178</v>
      </c>
      <c r="B105" s="10" t="s">
        <v>46</v>
      </c>
      <c r="C105" s="10" t="s">
        <v>47</v>
      </c>
      <c r="D105" s="10" t="s">
        <v>48</v>
      </c>
      <c r="E105" s="10" t="s">
        <v>9</v>
      </c>
      <c r="F105" s="10" t="s">
        <v>52</v>
      </c>
      <c r="G105" s="4"/>
      <c r="H105" s="4"/>
      <c r="I105" s="4"/>
      <c r="J105" s="4"/>
      <c r="K105" s="4"/>
      <c r="L105" s="4"/>
      <c r="M105" s="4"/>
      <c r="N105" s="4"/>
      <c r="O105" s="4"/>
      <c r="P105" s="4"/>
      <c r="Q105" s="4"/>
      <c r="R105" s="4"/>
      <c r="S105" s="4"/>
      <c r="T105" s="4"/>
      <c r="U105" s="4"/>
      <c r="V105" s="4"/>
      <c r="W105" s="4"/>
      <c r="X105" s="4"/>
      <c r="Y105" s="4"/>
      <c r="Z105" s="4"/>
    </row>
    <row r="106" spans="1:26" ht="13.2">
      <c r="A106" s="10">
        <v>1</v>
      </c>
      <c r="B106" s="10" t="s">
        <v>179</v>
      </c>
      <c r="C106" s="10"/>
      <c r="D106" s="10"/>
      <c r="E106" s="10">
        <v>7000</v>
      </c>
      <c r="F106" s="10"/>
      <c r="G106" s="4"/>
      <c r="H106" s="4"/>
      <c r="I106" s="4"/>
      <c r="J106" s="4"/>
      <c r="K106" s="4"/>
      <c r="L106" s="4"/>
      <c r="M106" s="4"/>
      <c r="N106" s="4"/>
      <c r="O106" s="4"/>
      <c r="P106" s="4"/>
      <c r="Q106" s="4"/>
      <c r="R106" s="4"/>
      <c r="S106" s="4"/>
      <c r="T106" s="4"/>
      <c r="U106" s="4"/>
      <c r="V106" s="4"/>
      <c r="W106" s="4"/>
      <c r="X106" s="4"/>
      <c r="Y106" s="4"/>
      <c r="Z106" s="4"/>
    </row>
    <row r="107" spans="1:26" ht="13.2">
      <c r="A107" s="10">
        <v>2</v>
      </c>
      <c r="B107" s="10" t="s">
        <v>181</v>
      </c>
      <c r="C107" s="10"/>
      <c r="D107" s="10"/>
      <c r="E107" s="10">
        <v>5000</v>
      </c>
      <c r="F107" s="10"/>
      <c r="G107" s="4"/>
      <c r="H107" s="4"/>
      <c r="I107" s="4"/>
      <c r="J107" s="4"/>
      <c r="K107" s="4"/>
      <c r="L107" s="4"/>
      <c r="M107" s="4"/>
      <c r="N107" s="4"/>
      <c r="O107" s="4"/>
      <c r="P107" s="4"/>
      <c r="Q107" s="4"/>
      <c r="R107" s="4"/>
      <c r="S107" s="4"/>
      <c r="T107" s="4"/>
      <c r="U107" s="4"/>
      <c r="V107" s="4"/>
      <c r="W107" s="4"/>
      <c r="X107" s="4"/>
      <c r="Y107" s="4"/>
      <c r="Z107" s="4"/>
    </row>
    <row r="108" spans="1:26" ht="13.2">
      <c r="A108" s="10">
        <v>3</v>
      </c>
      <c r="B108" s="10" t="s">
        <v>182</v>
      </c>
      <c r="C108" s="10"/>
      <c r="D108" s="10"/>
      <c r="E108" s="10">
        <v>3000</v>
      </c>
      <c r="F108" s="10"/>
      <c r="G108" s="4"/>
      <c r="H108" s="4"/>
      <c r="I108" s="4"/>
      <c r="J108" s="4"/>
      <c r="K108" s="4"/>
      <c r="L108" s="4"/>
      <c r="M108" s="4"/>
      <c r="N108" s="4"/>
      <c r="O108" s="4"/>
      <c r="P108" s="4"/>
      <c r="Q108" s="4"/>
      <c r="R108" s="4"/>
      <c r="S108" s="4"/>
      <c r="T108" s="4"/>
      <c r="U108" s="4"/>
      <c r="V108" s="4"/>
      <c r="W108" s="4"/>
      <c r="X108" s="4"/>
      <c r="Y108" s="4"/>
      <c r="Z108" s="4"/>
    </row>
    <row r="109" spans="1:26" ht="13.2">
      <c r="A109" s="4"/>
      <c r="B109" s="10" t="s">
        <v>136</v>
      </c>
      <c r="C109" s="10"/>
      <c r="D109" s="10"/>
      <c r="E109" s="10">
        <f>SUM(E103:E108)</f>
        <v>15000</v>
      </c>
      <c r="F109" s="4"/>
      <c r="G109" s="4">
        <f>E109</f>
        <v>15000</v>
      </c>
      <c r="H109" s="4"/>
      <c r="I109" s="4"/>
      <c r="J109" s="4"/>
      <c r="K109" s="4"/>
      <c r="L109" s="4"/>
      <c r="M109" s="4"/>
      <c r="N109" s="4"/>
      <c r="O109" s="4"/>
      <c r="P109" s="4"/>
      <c r="Q109" s="4"/>
      <c r="R109" s="4"/>
      <c r="S109" s="4"/>
      <c r="T109" s="4"/>
      <c r="U109" s="4"/>
      <c r="V109" s="4"/>
      <c r="W109" s="4"/>
      <c r="X109" s="4"/>
      <c r="Y109" s="4"/>
      <c r="Z109" s="4"/>
    </row>
    <row r="110" spans="1:26" ht="13.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c r="A111" s="10" t="s">
        <v>193</v>
      </c>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c r="A112" s="10" t="s">
        <v>177</v>
      </c>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c r="A113" s="10" t="s">
        <v>194</v>
      </c>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c r="A114" s="10" t="s">
        <v>178</v>
      </c>
      <c r="B114" s="10" t="s">
        <v>46</v>
      </c>
      <c r="C114" s="10" t="s">
        <v>47</v>
      </c>
      <c r="D114" s="10" t="s">
        <v>48</v>
      </c>
      <c r="E114" s="10" t="s">
        <v>9</v>
      </c>
      <c r="F114" s="10" t="s">
        <v>52</v>
      </c>
      <c r="G114" s="4"/>
      <c r="H114" s="4"/>
      <c r="I114" s="4"/>
      <c r="J114" s="4"/>
      <c r="K114" s="4"/>
      <c r="L114" s="4"/>
      <c r="M114" s="4"/>
      <c r="N114" s="4"/>
      <c r="O114" s="4"/>
      <c r="P114" s="4"/>
      <c r="Q114" s="4"/>
      <c r="R114" s="4"/>
      <c r="S114" s="4"/>
      <c r="T114" s="4"/>
      <c r="U114" s="4"/>
      <c r="V114" s="4"/>
      <c r="W114" s="4"/>
      <c r="X114" s="4"/>
      <c r="Y114" s="4"/>
      <c r="Z114" s="4"/>
    </row>
    <row r="115" spans="1:26" ht="13.2">
      <c r="A115" s="10">
        <v>1</v>
      </c>
      <c r="B115" s="10" t="s">
        <v>179</v>
      </c>
      <c r="C115" s="10"/>
      <c r="D115" s="10"/>
      <c r="E115" s="10">
        <v>2500</v>
      </c>
      <c r="F115" s="10"/>
      <c r="G115" s="4"/>
      <c r="H115" s="4"/>
      <c r="I115" s="4"/>
      <c r="J115" s="4"/>
      <c r="K115" s="4"/>
      <c r="L115" s="4"/>
      <c r="M115" s="4"/>
      <c r="N115" s="4"/>
      <c r="O115" s="4"/>
      <c r="P115" s="4"/>
      <c r="Q115" s="4"/>
      <c r="R115" s="4"/>
      <c r="S115" s="4"/>
      <c r="T115" s="4"/>
      <c r="U115" s="4"/>
      <c r="V115" s="4"/>
      <c r="W115" s="4"/>
      <c r="X115" s="4"/>
      <c r="Y115" s="4"/>
      <c r="Z115" s="4"/>
    </row>
    <row r="116" spans="1:26" ht="13.2">
      <c r="A116" s="10">
        <v>2</v>
      </c>
      <c r="B116" s="10" t="s">
        <v>181</v>
      </c>
      <c r="C116" s="10"/>
      <c r="D116" s="10"/>
      <c r="E116" s="10">
        <v>1500</v>
      </c>
      <c r="F116" s="10"/>
      <c r="G116" s="4"/>
      <c r="H116" s="4"/>
      <c r="I116" s="4"/>
      <c r="J116" s="4"/>
      <c r="K116" s="4"/>
      <c r="L116" s="4"/>
      <c r="M116" s="4"/>
      <c r="N116" s="4"/>
      <c r="O116" s="4"/>
      <c r="P116" s="4"/>
      <c r="Q116" s="4"/>
      <c r="R116" s="4"/>
      <c r="S116" s="4"/>
      <c r="T116" s="4"/>
      <c r="U116" s="4"/>
      <c r="V116" s="4"/>
      <c r="W116" s="4"/>
      <c r="X116" s="4"/>
      <c r="Y116" s="4"/>
      <c r="Z116" s="4"/>
    </row>
    <row r="117" spans="1:26" ht="13.2">
      <c r="A117" s="10">
        <v>3</v>
      </c>
      <c r="B117" s="10" t="s">
        <v>182</v>
      </c>
      <c r="C117" s="10"/>
      <c r="D117" s="10"/>
      <c r="E117" s="10">
        <v>1000</v>
      </c>
      <c r="F117" s="10"/>
      <c r="G117" s="4"/>
      <c r="H117" s="4"/>
      <c r="I117" s="4"/>
      <c r="J117" s="4"/>
      <c r="K117" s="4"/>
      <c r="L117" s="4"/>
      <c r="M117" s="4"/>
      <c r="N117" s="4"/>
      <c r="O117" s="4"/>
      <c r="P117" s="4"/>
      <c r="Q117" s="4"/>
      <c r="R117" s="4"/>
      <c r="S117" s="4"/>
      <c r="T117" s="4"/>
      <c r="U117" s="4"/>
      <c r="V117" s="4"/>
      <c r="W117" s="4"/>
      <c r="X117" s="4"/>
      <c r="Y117" s="4"/>
      <c r="Z117" s="4"/>
    </row>
    <row r="118" spans="1:26" ht="13.2">
      <c r="A118" s="4"/>
      <c r="B118" s="10" t="s">
        <v>136</v>
      </c>
      <c r="C118" s="10"/>
      <c r="D118" s="10"/>
      <c r="E118" s="10">
        <f>SUM(E112:E117)</f>
        <v>5000</v>
      </c>
      <c r="F118" s="4"/>
      <c r="G118" s="4">
        <f>E118</f>
        <v>5000</v>
      </c>
      <c r="H118" s="4"/>
      <c r="I118" s="4"/>
      <c r="J118" s="4"/>
      <c r="K118" s="4"/>
      <c r="L118" s="4"/>
      <c r="M118" s="4"/>
      <c r="N118" s="4"/>
      <c r="O118" s="4"/>
      <c r="P118" s="4"/>
      <c r="Q118" s="4"/>
      <c r="R118" s="4"/>
      <c r="S118" s="4"/>
      <c r="T118" s="4"/>
      <c r="U118" s="4"/>
      <c r="V118" s="4"/>
      <c r="W118" s="4"/>
      <c r="X118" s="4"/>
      <c r="Y118" s="4"/>
      <c r="Z118" s="4"/>
    </row>
    <row r="119" spans="1:26" ht="13.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c r="A120" s="10" t="s">
        <v>197</v>
      </c>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c r="A121" s="10" t="s">
        <v>167</v>
      </c>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c r="A122" s="10" t="s">
        <v>130</v>
      </c>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c r="A123" s="10" t="s">
        <v>178</v>
      </c>
      <c r="B123" s="10" t="s">
        <v>46</v>
      </c>
      <c r="C123" s="10" t="s">
        <v>47</v>
      </c>
      <c r="D123" s="10" t="s">
        <v>48</v>
      </c>
      <c r="E123" s="10" t="s">
        <v>9</v>
      </c>
      <c r="F123" s="10" t="s">
        <v>52</v>
      </c>
      <c r="G123" s="4"/>
      <c r="H123" s="4"/>
      <c r="I123" s="4"/>
      <c r="J123" s="4"/>
      <c r="K123" s="4"/>
      <c r="L123" s="4"/>
      <c r="M123" s="4"/>
      <c r="N123" s="4"/>
      <c r="O123" s="4"/>
      <c r="P123" s="4"/>
      <c r="Q123" s="4"/>
      <c r="R123" s="4"/>
      <c r="S123" s="4"/>
      <c r="T123" s="4"/>
      <c r="U123" s="4"/>
      <c r="V123" s="4"/>
      <c r="W123" s="4"/>
      <c r="X123" s="4"/>
      <c r="Y123" s="4"/>
      <c r="Z123" s="4"/>
    </row>
    <row r="124" spans="1:26" ht="13.2">
      <c r="A124" s="10">
        <v>1</v>
      </c>
      <c r="B124" s="10" t="s">
        <v>179</v>
      </c>
      <c r="C124" s="10"/>
      <c r="D124" s="10"/>
      <c r="E124" s="10">
        <v>7000</v>
      </c>
      <c r="F124" s="10"/>
      <c r="G124" s="4"/>
      <c r="H124" s="4"/>
      <c r="I124" s="4"/>
      <c r="J124" s="4"/>
      <c r="K124" s="4"/>
      <c r="L124" s="4"/>
      <c r="M124" s="4"/>
      <c r="N124" s="4"/>
      <c r="O124" s="4"/>
      <c r="P124" s="4"/>
      <c r="Q124" s="4"/>
      <c r="R124" s="4"/>
      <c r="S124" s="4"/>
      <c r="T124" s="4"/>
      <c r="U124" s="4"/>
      <c r="V124" s="4"/>
      <c r="W124" s="4"/>
      <c r="X124" s="4"/>
      <c r="Y124" s="4"/>
      <c r="Z124" s="4"/>
    </row>
    <row r="125" spans="1:26" ht="13.2">
      <c r="A125" s="10">
        <v>2</v>
      </c>
      <c r="B125" s="10" t="s">
        <v>181</v>
      </c>
      <c r="C125" s="10"/>
      <c r="D125" s="10"/>
      <c r="E125" s="10">
        <v>5000</v>
      </c>
      <c r="F125" s="10"/>
      <c r="G125" s="4"/>
      <c r="H125" s="4"/>
      <c r="I125" s="4"/>
      <c r="J125" s="4"/>
      <c r="K125" s="4"/>
      <c r="L125" s="4"/>
      <c r="M125" s="4"/>
      <c r="N125" s="4"/>
      <c r="O125" s="4"/>
      <c r="P125" s="4"/>
      <c r="Q125" s="4"/>
      <c r="R125" s="4"/>
      <c r="S125" s="4"/>
      <c r="T125" s="4"/>
      <c r="U125" s="4"/>
      <c r="V125" s="4"/>
      <c r="W125" s="4"/>
      <c r="X125" s="4"/>
      <c r="Y125" s="4"/>
      <c r="Z125" s="4"/>
    </row>
    <row r="126" spans="1:26" ht="13.2">
      <c r="A126" s="10">
        <v>3</v>
      </c>
      <c r="B126" s="10" t="s">
        <v>182</v>
      </c>
      <c r="C126" s="10"/>
      <c r="D126" s="10"/>
      <c r="E126" s="10">
        <v>3000</v>
      </c>
      <c r="F126" s="10"/>
      <c r="G126" s="4"/>
      <c r="H126" s="4"/>
      <c r="I126" s="4"/>
      <c r="J126" s="4"/>
      <c r="K126" s="4"/>
      <c r="L126" s="4"/>
      <c r="M126" s="4"/>
      <c r="N126" s="4"/>
      <c r="O126" s="4"/>
      <c r="P126" s="4"/>
      <c r="Q126" s="4"/>
      <c r="R126" s="4"/>
      <c r="S126" s="4"/>
      <c r="T126" s="4"/>
      <c r="U126" s="4"/>
      <c r="V126" s="4"/>
      <c r="W126" s="4"/>
      <c r="X126" s="4"/>
      <c r="Y126" s="4"/>
      <c r="Z126" s="4"/>
    </row>
    <row r="127" spans="1:26" ht="13.2">
      <c r="A127" s="4"/>
      <c r="B127" s="10" t="s">
        <v>136</v>
      </c>
      <c r="C127" s="10"/>
      <c r="D127" s="10"/>
      <c r="E127" s="10">
        <f>SUM(E121:E126)</f>
        <v>15000</v>
      </c>
      <c r="F127" s="4"/>
      <c r="G127" s="4">
        <f>E127</f>
        <v>15000</v>
      </c>
      <c r="H127" s="4"/>
      <c r="I127" s="4"/>
      <c r="J127" s="4"/>
      <c r="K127" s="4"/>
      <c r="L127" s="4"/>
      <c r="M127" s="4"/>
      <c r="N127" s="4"/>
      <c r="O127" s="4"/>
      <c r="P127" s="4"/>
      <c r="Q127" s="4"/>
      <c r="R127" s="4"/>
      <c r="S127" s="4"/>
      <c r="T127" s="4"/>
      <c r="U127" s="4"/>
      <c r="V127" s="4"/>
      <c r="W127" s="4"/>
      <c r="X127" s="4"/>
      <c r="Y127" s="4"/>
      <c r="Z127" s="4"/>
    </row>
    <row r="128" spans="1:26" ht="13.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c r="A129" s="10" t="s">
        <v>201</v>
      </c>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c r="A130" s="10" t="s">
        <v>167</v>
      </c>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c r="A131" s="10" t="s">
        <v>202</v>
      </c>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c r="A133" s="10" t="s">
        <v>204</v>
      </c>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c r="A134" s="10" t="s">
        <v>167</v>
      </c>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c r="A135" s="10" t="s">
        <v>194</v>
      </c>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c r="A136" s="10" t="s">
        <v>178</v>
      </c>
      <c r="B136" s="10" t="s">
        <v>46</v>
      </c>
      <c r="C136" s="10" t="s">
        <v>47</v>
      </c>
      <c r="D136" s="10" t="s">
        <v>48</v>
      </c>
      <c r="E136" s="10" t="s">
        <v>9</v>
      </c>
      <c r="F136" s="10" t="s">
        <v>52</v>
      </c>
      <c r="G136" s="4"/>
      <c r="H136" s="4"/>
      <c r="I136" s="4"/>
      <c r="J136" s="4"/>
      <c r="K136" s="4"/>
      <c r="L136" s="4"/>
      <c r="M136" s="4"/>
      <c r="N136" s="4"/>
      <c r="O136" s="4"/>
      <c r="P136" s="4"/>
      <c r="Q136" s="4"/>
      <c r="R136" s="4"/>
      <c r="S136" s="4"/>
      <c r="T136" s="4"/>
      <c r="U136" s="4"/>
      <c r="V136" s="4"/>
      <c r="W136" s="4"/>
      <c r="X136" s="4"/>
      <c r="Y136" s="4"/>
      <c r="Z136" s="4"/>
    </row>
    <row r="137" spans="1:26" ht="13.2">
      <c r="A137" s="10">
        <v>1</v>
      </c>
      <c r="B137" s="10" t="s">
        <v>179</v>
      </c>
      <c r="C137" s="10"/>
      <c r="D137" s="10"/>
      <c r="E137" s="10">
        <v>2500</v>
      </c>
      <c r="F137" s="10"/>
      <c r="G137" s="4"/>
      <c r="H137" s="4"/>
      <c r="I137" s="4"/>
      <c r="J137" s="4"/>
      <c r="K137" s="4"/>
      <c r="L137" s="4"/>
      <c r="M137" s="4"/>
      <c r="N137" s="4"/>
      <c r="O137" s="4"/>
      <c r="P137" s="4"/>
      <c r="Q137" s="4"/>
      <c r="R137" s="4"/>
      <c r="S137" s="4"/>
      <c r="T137" s="4"/>
      <c r="U137" s="4"/>
      <c r="V137" s="4"/>
      <c r="W137" s="4"/>
      <c r="X137" s="4"/>
      <c r="Y137" s="4"/>
      <c r="Z137" s="4"/>
    </row>
    <row r="138" spans="1:26" ht="13.2">
      <c r="A138" s="10">
        <v>2</v>
      </c>
      <c r="B138" s="10" t="s">
        <v>181</v>
      </c>
      <c r="C138" s="10"/>
      <c r="D138" s="10"/>
      <c r="E138" s="10">
        <v>1500</v>
      </c>
      <c r="F138" s="10"/>
      <c r="G138" s="4"/>
      <c r="H138" s="4"/>
      <c r="I138" s="4"/>
      <c r="J138" s="4"/>
      <c r="K138" s="4"/>
      <c r="L138" s="4"/>
      <c r="M138" s="4"/>
      <c r="N138" s="4"/>
      <c r="O138" s="4"/>
      <c r="P138" s="4"/>
      <c r="Q138" s="4"/>
      <c r="R138" s="4"/>
      <c r="S138" s="4"/>
      <c r="T138" s="4"/>
      <c r="U138" s="4"/>
      <c r="V138" s="4"/>
      <c r="W138" s="4"/>
      <c r="X138" s="4"/>
      <c r="Y138" s="4"/>
      <c r="Z138" s="4"/>
    </row>
    <row r="139" spans="1:26" ht="13.2">
      <c r="A139" s="10">
        <v>3</v>
      </c>
      <c r="B139" s="10" t="s">
        <v>182</v>
      </c>
      <c r="C139" s="10"/>
      <c r="D139" s="10"/>
      <c r="E139" s="10">
        <v>1000</v>
      </c>
      <c r="F139" s="10"/>
      <c r="G139" s="4"/>
      <c r="H139" s="4"/>
      <c r="I139" s="4"/>
      <c r="J139" s="4"/>
      <c r="K139" s="4"/>
      <c r="L139" s="4"/>
      <c r="M139" s="4"/>
      <c r="N139" s="4"/>
      <c r="O139" s="4"/>
      <c r="P139" s="4"/>
      <c r="Q139" s="4"/>
      <c r="R139" s="4"/>
      <c r="S139" s="4"/>
      <c r="T139" s="4"/>
      <c r="U139" s="4"/>
      <c r="V139" s="4"/>
      <c r="W139" s="4"/>
      <c r="X139" s="4"/>
      <c r="Y139" s="4"/>
      <c r="Z139" s="4"/>
    </row>
    <row r="140" spans="1:26" ht="13.2">
      <c r="A140" s="4"/>
      <c r="B140" s="10" t="s">
        <v>136</v>
      </c>
      <c r="C140" s="10"/>
      <c r="D140" s="10"/>
      <c r="E140" s="10">
        <f>SUM(E134:E139)</f>
        <v>5000</v>
      </c>
      <c r="F140" s="4"/>
      <c r="G140" s="4">
        <f>E140</f>
        <v>5000</v>
      </c>
      <c r="H140" s="4"/>
      <c r="I140" s="4"/>
      <c r="J140" s="4"/>
      <c r="K140" s="4"/>
      <c r="L140" s="4"/>
      <c r="M140" s="4"/>
      <c r="N140" s="4"/>
      <c r="O140" s="4"/>
      <c r="P140" s="4"/>
      <c r="Q140" s="4"/>
      <c r="R140" s="4"/>
      <c r="S140" s="4"/>
      <c r="T140" s="4"/>
      <c r="U140" s="4"/>
      <c r="V140" s="4"/>
      <c r="W140" s="4"/>
      <c r="X140" s="4"/>
      <c r="Y140" s="4"/>
      <c r="Z140" s="4"/>
    </row>
    <row r="141" spans="1:26" ht="13.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c r="A142" s="10" t="s">
        <v>207</v>
      </c>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c r="A143" s="10" t="s">
        <v>177</v>
      </c>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c r="A144" s="10" t="s">
        <v>194</v>
      </c>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c r="A145" s="10" t="s">
        <v>178</v>
      </c>
      <c r="B145" s="10" t="s">
        <v>46</v>
      </c>
      <c r="C145" s="10" t="s">
        <v>47</v>
      </c>
      <c r="D145" s="10" t="s">
        <v>48</v>
      </c>
      <c r="E145" s="10" t="s">
        <v>9</v>
      </c>
      <c r="F145" s="10" t="s">
        <v>52</v>
      </c>
      <c r="G145" s="4"/>
      <c r="H145" s="4"/>
      <c r="I145" s="4"/>
      <c r="J145" s="4"/>
      <c r="K145" s="4"/>
      <c r="L145" s="4"/>
      <c r="M145" s="4"/>
      <c r="N145" s="4"/>
      <c r="O145" s="4"/>
      <c r="P145" s="4"/>
      <c r="Q145" s="4"/>
      <c r="R145" s="4"/>
      <c r="S145" s="4"/>
      <c r="T145" s="4"/>
      <c r="U145" s="4"/>
      <c r="V145" s="4"/>
      <c r="W145" s="4"/>
      <c r="X145" s="4"/>
      <c r="Y145" s="4"/>
      <c r="Z145" s="4"/>
    </row>
    <row r="146" spans="1:26" ht="13.2">
      <c r="A146" s="10">
        <v>1</v>
      </c>
      <c r="B146" s="10" t="s">
        <v>179</v>
      </c>
      <c r="C146" s="10"/>
      <c r="D146" s="10"/>
      <c r="E146" s="10">
        <v>2500</v>
      </c>
      <c r="F146" s="10"/>
      <c r="G146" s="4"/>
      <c r="H146" s="4"/>
      <c r="I146" s="4"/>
      <c r="J146" s="4"/>
      <c r="K146" s="4"/>
      <c r="L146" s="4"/>
      <c r="M146" s="4"/>
      <c r="N146" s="4"/>
      <c r="O146" s="4"/>
      <c r="P146" s="4"/>
      <c r="Q146" s="4"/>
      <c r="R146" s="4"/>
      <c r="S146" s="4"/>
      <c r="T146" s="4"/>
      <c r="U146" s="4"/>
      <c r="V146" s="4"/>
      <c r="W146" s="4"/>
      <c r="X146" s="4"/>
      <c r="Y146" s="4"/>
      <c r="Z146" s="4"/>
    </row>
    <row r="147" spans="1:26" ht="13.2">
      <c r="A147" s="10">
        <v>2</v>
      </c>
      <c r="B147" s="10" t="s">
        <v>181</v>
      </c>
      <c r="C147" s="10"/>
      <c r="D147" s="10"/>
      <c r="E147" s="10">
        <v>1500</v>
      </c>
      <c r="F147" s="10"/>
      <c r="G147" s="4"/>
      <c r="H147" s="4"/>
      <c r="I147" s="4"/>
      <c r="J147" s="4"/>
      <c r="K147" s="4"/>
      <c r="L147" s="4"/>
      <c r="M147" s="4"/>
      <c r="N147" s="4"/>
      <c r="O147" s="4"/>
      <c r="P147" s="4"/>
      <c r="Q147" s="4"/>
      <c r="R147" s="4"/>
      <c r="S147" s="4"/>
      <c r="T147" s="4"/>
      <c r="U147" s="4"/>
      <c r="V147" s="4"/>
      <c r="W147" s="4"/>
      <c r="X147" s="4"/>
      <c r="Y147" s="4"/>
      <c r="Z147" s="4"/>
    </row>
    <row r="148" spans="1:26" ht="13.2">
      <c r="A148" s="10">
        <v>3</v>
      </c>
      <c r="B148" s="10" t="s">
        <v>182</v>
      </c>
      <c r="C148" s="10"/>
      <c r="D148" s="10"/>
      <c r="E148" s="10">
        <v>1000</v>
      </c>
      <c r="F148" s="10"/>
      <c r="G148" s="4"/>
      <c r="H148" s="4"/>
      <c r="I148" s="4"/>
      <c r="J148" s="4"/>
      <c r="K148" s="4"/>
      <c r="L148" s="4"/>
      <c r="M148" s="4"/>
      <c r="N148" s="4"/>
      <c r="O148" s="4"/>
      <c r="P148" s="4"/>
      <c r="Q148" s="4"/>
      <c r="R148" s="4"/>
      <c r="S148" s="4"/>
      <c r="T148" s="4"/>
      <c r="U148" s="4"/>
      <c r="V148" s="4"/>
      <c r="W148" s="4"/>
      <c r="X148" s="4"/>
      <c r="Y148" s="4"/>
      <c r="Z148" s="4"/>
    </row>
    <row r="149" spans="1:26" ht="13.2">
      <c r="A149" s="4"/>
      <c r="B149" s="10" t="s">
        <v>136</v>
      </c>
      <c r="C149" s="10"/>
      <c r="D149" s="10"/>
      <c r="E149" s="10">
        <f>SUM(E143:E148)</f>
        <v>5000</v>
      </c>
      <c r="F149" s="4"/>
      <c r="G149" s="4">
        <f>E149</f>
        <v>5000</v>
      </c>
      <c r="H149" s="4"/>
      <c r="I149" s="4"/>
      <c r="J149" s="4"/>
      <c r="K149" s="4"/>
      <c r="L149" s="4"/>
      <c r="M149" s="4"/>
      <c r="N149" s="4"/>
      <c r="O149" s="4"/>
      <c r="P149" s="4"/>
      <c r="Q149" s="4"/>
      <c r="R149" s="4"/>
      <c r="S149" s="4"/>
      <c r="T149" s="4"/>
      <c r="U149" s="4"/>
      <c r="V149" s="4"/>
      <c r="W149" s="4"/>
      <c r="X149" s="4"/>
      <c r="Y149" s="4"/>
      <c r="Z149" s="4"/>
    </row>
    <row r="150" spans="1:26" ht="13.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c r="A151" s="10" t="s">
        <v>211</v>
      </c>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c r="A152" s="10" t="s">
        <v>212</v>
      </c>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c r="A153" s="10" t="s">
        <v>202</v>
      </c>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c r="A155" s="4" t="s">
        <v>213</v>
      </c>
      <c r="B155" s="4"/>
      <c r="C155" s="4"/>
      <c r="D155" s="4"/>
      <c r="E155" s="4"/>
      <c r="F155" s="4"/>
      <c r="G155" s="2">
        <f>SUM(G72:G153)</f>
        <v>127500</v>
      </c>
      <c r="H155" s="4"/>
      <c r="I155" s="4"/>
      <c r="J155" s="4"/>
      <c r="K155" s="4"/>
      <c r="L155" s="4"/>
      <c r="M155" s="4"/>
      <c r="N155" s="4"/>
      <c r="O155" s="4"/>
      <c r="P155" s="4"/>
      <c r="Q155" s="4"/>
      <c r="R155" s="4"/>
      <c r="S155" s="4"/>
      <c r="T155" s="4"/>
      <c r="U155" s="4"/>
      <c r="V155" s="4"/>
      <c r="W155" s="4"/>
      <c r="X155" s="4"/>
      <c r="Y155" s="4"/>
      <c r="Z155" s="4"/>
    </row>
    <row r="156" spans="1:26" ht="13.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c r="A157" s="4"/>
      <c r="B157" s="4"/>
      <c r="C157" s="4"/>
      <c r="D157" s="4"/>
      <c r="E157" s="4"/>
      <c r="F157" s="4"/>
      <c r="G157" s="2">
        <f>SUM(G155)</f>
        <v>127500</v>
      </c>
      <c r="H157" s="4"/>
      <c r="I157" s="4"/>
      <c r="J157" s="4"/>
      <c r="K157" s="4"/>
      <c r="L157" s="4"/>
      <c r="M157" s="4"/>
      <c r="N157" s="4"/>
      <c r="O157" s="4"/>
      <c r="P157" s="4"/>
      <c r="Q157" s="4"/>
      <c r="R157" s="4"/>
      <c r="S157" s="4"/>
      <c r="T157" s="4"/>
      <c r="U157" s="4"/>
      <c r="V157" s="4"/>
      <c r="W157" s="4"/>
      <c r="X157" s="4"/>
      <c r="Y157" s="4"/>
      <c r="Z157" s="4"/>
    </row>
    <row r="158" spans="1:26" ht="13.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2">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3.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3.2">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3.2">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3.2">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3.2">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3.2">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3.2">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3.2">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3.2">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3.2">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3.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3.2">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ht="13.2">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ht="13.2">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ht="13.2">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ht="13.2">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ht="13.2">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spans="1:26" ht="13.2">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spans="1:26" ht="13.2">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spans="1:26" ht="13.2">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spans="1:26" ht="1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spans="1:26" ht="13.2">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spans="1:26" ht="13.2">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spans="1:26" ht="13.2">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spans="1:26" ht="13.2">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spans="1:26" ht="13.2">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spans="1:26" ht="13.2">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spans="1:26" ht="13.2">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spans="1:26" ht="13.2">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spans="1:26" ht="13.2">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spans="1:26" ht="13.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spans="1:26" ht="13.2">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spans="1:26" ht="13.2">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spans="1:26" ht="13.2">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spans="1:26" ht="13.2">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spans="1:26" ht="13.2">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spans="1:26" ht="13.2">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spans="1:26" ht="13.2">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sheetData>
  <mergeCells count="3">
    <mergeCell ref="A49:F49"/>
    <mergeCell ref="A57:F57"/>
    <mergeCell ref="A61:F61"/>
  </mergeCells>
  <hyperlinks>
    <hyperlink ref="F51" r:id="rId1" xr:uid="{00000000-0004-0000-0100-000000000000}"/>
    <hyperlink ref="F59" r:id="rId2" xr:uid="{00000000-0004-0000-0100-000001000000}"/>
    <hyperlink ref="F78"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39"/>
  <sheetViews>
    <sheetView topLeftCell="A79" workbookViewId="0">
      <selection activeCell="A21" sqref="A21:G21"/>
    </sheetView>
  </sheetViews>
  <sheetFormatPr defaultColWidth="12.6640625" defaultRowHeight="15.75" customHeight="1"/>
  <cols>
    <col min="1" max="1" width="45.77734375" customWidth="1"/>
    <col min="2" max="2" width="65.6640625" customWidth="1"/>
    <col min="6" max="6" width="19.6640625" customWidth="1"/>
    <col min="7" max="7" width="57.88671875" customWidth="1"/>
  </cols>
  <sheetData>
    <row r="1" spans="1:26" ht="13.2">
      <c r="A1" s="3" t="s">
        <v>2</v>
      </c>
      <c r="B1" s="3" t="s">
        <v>9</v>
      </c>
      <c r="C1" s="6"/>
      <c r="D1" s="6"/>
      <c r="E1" s="6"/>
      <c r="F1" s="6"/>
      <c r="G1" s="6"/>
      <c r="H1" s="6"/>
      <c r="I1" s="6"/>
      <c r="J1" s="6"/>
      <c r="K1" s="6"/>
      <c r="L1" s="6"/>
      <c r="M1" s="6"/>
      <c r="N1" s="6"/>
      <c r="O1" s="6"/>
      <c r="P1" s="6"/>
      <c r="Q1" s="6"/>
      <c r="R1" s="6"/>
      <c r="S1" s="6"/>
      <c r="T1" s="6"/>
      <c r="U1" s="6"/>
      <c r="V1" s="6"/>
      <c r="W1" s="6"/>
      <c r="X1" s="6"/>
      <c r="Y1" s="6"/>
      <c r="Z1" s="6"/>
    </row>
    <row r="2" spans="1:26" ht="13.2">
      <c r="A2" s="7" t="s">
        <v>3</v>
      </c>
      <c r="B2" s="11">
        <f>E19+E86+E94+C99</f>
        <v>66200</v>
      </c>
      <c r="C2" s="6"/>
      <c r="D2" s="6"/>
      <c r="E2" s="6"/>
      <c r="F2" s="6"/>
      <c r="G2" s="6"/>
      <c r="H2" s="6"/>
      <c r="I2" s="6"/>
      <c r="J2" s="6"/>
      <c r="K2" s="6"/>
      <c r="L2" s="6"/>
      <c r="M2" s="6"/>
      <c r="N2" s="6"/>
      <c r="O2" s="6"/>
      <c r="P2" s="6"/>
      <c r="Q2" s="6"/>
      <c r="R2" s="6"/>
      <c r="S2" s="6"/>
      <c r="T2" s="6"/>
      <c r="U2" s="6"/>
      <c r="V2" s="6"/>
      <c r="W2" s="6"/>
      <c r="X2" s="6"/>
      <c r="Y2" s="6"/>
      <c r="Z2" s="6"/>
    </row>
    <row r="3" spans="1:26" ht="13.2">
      <c r="A3" s="7" t="s">
        <v>4</v>
      </c>
      <c r="B3" s="11">
        <f>E76</f>
        <v>130304</v>
      </c>
      <c r="C3" s="6"/>
      <c r="D3" s="6"/>
      <c r="E3" s="6"/>
      <c r="F3" s="6"/>
      <c r="G3" s="6"/>
      <c r="H3" s="6"/>
      <c r="I3" s="6"/>
      <c r="J3" s="6"/>
      <c r="K3" s="6"/>
      <c r="L3" s="6"/>
      <c r="M3" s="6"/>
      <c r="N3" s="6"/>
      <c r="O3" s="6"/>
      <c r="P3" s="6"/>
      <c r="Q3" s="6"/>
      <c r="R3" s="6"/>
      <c r="S3" s="6"/>
      <c r="T3" s="6"/>
      <c r="U3" s="6"/>
      <c r="V3" s="6"/>
      <c r="W3" s="6"/>
      <c r="X3" s="6"/>
      <c r="Y3" s="6"/>
      <c r="Z3" s="6"/>
    </row>
    <row r="4" spans="1:26" ht="13.2">
      <c r="A4" s="3" t="s">
        <v>5</v>
      </c>
      <c r="B4" s="11">
        <f>SUM(B2:B3)</f>
        <v>196504</v>
      </c>
      <c r="C4" s="6"/>
      <c r="D4" s="6"/>
      <c r="E4" s="6"/>
      <c r="F4" s="6"/>
      <c r="G4" s="6"/>
      <c r="H4" s="6"/>
      <c r="I4" s="6"/>
      <c r="J4" s="6"/>
      <c r="K4" s="6"/>
      <c r="L4" s="6"/>
      <c r="M4" s="6"/>
      <c r="N4" s="6"/>
      <c r="O4" s="6"/>
      <c r="P4" s="6"/>
      <c r="Q4" s="6"/>
      <c r="R4" s="6"/>
      <c r="S4" s="6"/>
      <c r="T4" s="6"/>
      <c r="U4" s="6"/>
      <c r="V4" s="6"/>
      <c r="W4" s="6"/>
      <c r="X4" s="6"/>
      <c r="Y4" s="6"/>
      <c r="Z4" s="6"/>
    </row>
    <row r="5" spans="1:26" ht="13.2">
      <c r="A5" s="6"/>
      <c r="B5" s="6"/>
      <c r="C5" s="6"/>
      <c r="D5" s="6"/>
      <c r="E5" s="6"/>
      <c r="F5" s="6"/>
      <c r="G5" s="6"/>
      <c r="H5" s="6"/>
      <c r="I5" s="6"/>
      <c r="J5" s="6"/>
      <c r="K5" s="6"/>
      <c r="L5" s="6"/>
      <c r="M5" s="6"/>
      <c r="N5" s="6"/>
      <c r="O5" s="6"/>
      <c r="P5" s="6"/>
      <c r="Q5" s="6"/>
      <c r="R5" s="6"/>
      <c r="S5" s="6"/>
      <c r="T5" s="6"/>
      <c r="U5" s="6"/>
      <c r="V5" s="6"/>
      <c r="W5" s="6"/>
      <c r="X5" s="6"/>
      <c r="Y5" s="6"/>
      <c r="Z5" s="6"/>
    </row>
    <row r="6" spans="1:26" ht="13.2">
      <c r="A6" s="13" t="s">
        <v>14</v>
      </c>
      <c r="B6" s="6"/>
      <c r="C6" s="6"/>
      <c r="D6" s="6"/>
      <c r="E6" s="6"/>
      <c r="F6" s="6"/>
      <c r="G6" s="6"/>
      <c r="H6" s="6"/>
      <c r="I6" s="6"/>
      <c r="J6" s="6"/>
      <c r="K6" s="6"/>
      <c r="L6" s="6"/>
      <c r="M6" s="6"/>
      <c r="N6" s="6"/>
      <c r="O6" s="6"/>
      <c r="P6" s="6"/>
      <c r="Q6" s="6"/>
      <c r="R6" s="6"/>
      <c r="S6" s="6"/>
      <c r="T6" s="6"/>
      <c r="U6" s="6"/>
      <c r="V6" s="6"/>
      <c r="W6" s="6"/>
      <c r="X6" s="6"/>
      <c r="Y6" s="6"/>
      <c r="Z6" s="6"/>
    </row>
    <row r="7" spans="1:26" ht="13.2">
      <c r="A7" s="7" t="s">
        <v>15</v>
      </c>
      <c r="B7" s="6"/>
      <c r="C7" s="6"/>
      <c r="D7" s="6"/>
      <c r="E7" s="6"/>
      <c r="F7" s="6"/>
      <c r="G7" s="6"/>
      <c r="H7" s="6"/>
      <c r="I7" s="6"/>
      <c r="J7" s="6"/>
      <c r="K7" s="6"/>
      <c r="L7" s="6"/>
      <c r="M7" s="6"/>
      <c r="N7" s="6"/>
      <c r="O7" s="6"/>
      <c r="P7" s="6"/>
      <c r="Q7" s="6"/>
      <c r="R7" s="6"/>
      <c r="S7" s="6"/>
      <c r="T7" s="6"/>
      <c r="U7" s="6"/>
      <c r="V7" s="6"/>
      <c r="W7" s="6"/>
      <c r="X7" s="6"/>
      <c r="Y7" s="6"/>
      <c r="Z7" s="6"/>
    </row>
    <row r="8" spans="1:26" ht="13.2">
      <c r="A8" s="7" t="s">
        <v>16</v>
      </c>
      <c r="B8" s="6"/>
      <c r="C8" s="6"/>
      <c r="D8" s="6"/>
      <c r="E8" s="6"/>
      <c r="F8" s="6"/>
      <c r="G8" s="6"/>
      <c r="H8" s="6"/>
      <c r="I8" s="6"/>
      <c r="J8" s="6"/>
      <c r="K8" s="6"/>
      <c r="L8" s="6"/>
      <c r="M8" s="6"/>
      <c r="N8" s="6"/>
      <c r="O8" s="6"/>
      <c r="P8" s="6"/>
      <c r="Q8" s="6"/>
      <c r="R8" s="6"/>
      <c r="S8" s="6"/>
      <c r="T8" s="6"/>
      <c r="U8" s="6"/>
      <c r="V8" s="6"/>
      <c r="W8" s="6"/>
      <c r="X8" s="6"/>
      <c r="Y8" s="6"/>
      <c r="Z8" s="6"/>
    </row>
    <row r="9" spans="1:26" ht="13.2">
      <c r="A9" s="7" t="s">
        <v>17</v>
      </c>
      <c r="B9" s="6"/>
      <c r="C9" s="6"/>
      <c r="D9" s="6"/>
      <c r="E9" s="6"/>
      <c r="F9" s="6"/>
      <c r="G9" s="6"/>
      <c r="H9" s="6"/>
      <c r="I9" s="6"/>
      <c r="J9" s="6"/>
      <c r="K9" s="6"/>
      <c r="L9" s="6"/>
      <c r="M9" s="6"/>
      <c r="N9" s="6"/>
      <c r="O9" s="6"/>
      <c r="P9" s="6"/>
      <c r="Q9" s="6"/>
      <c r="R9" s="6"/>
      <c r="S9" s="6"/>
      <c r="T9" s="6"/>
      <c r="U9" s="6"/>
      <c r="V9" s="6"/>
      <c r="W9" s="6"/>
      <c r="X9" s="6"/>
      <c r="Y9" s="6"/>
      <c r="Z9" s="6"/>
    </row>
    <row r="10" spans="1:26" ht="13.2">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3.2">
      <c r="A11" s="7" t="s">
        <v>19</v>
      </c>
      <c r="B11" s="6"/>
      <c r="C11" s="6"/>
      <c r="D11" s="6"/>
      <c r="E11" s="6"/>
      <c r="F11" s="6"/>
      <c r="G11" s="6"/>
      <c r="H11" s="6"/>
      <c r="I11" s="6"/>
      <c r="J11" s="6"/>
      <c r="K11" s="6"/>
      <c r="L11" s="6"/>
      <c r="M11" s="6"/>
      <c r="N11" s="6"/>
      <c r="O11" s="6"/>
      <c r="P11" s="6"/>
      <c r="Q11" s="6"/>
      <c r="R11" s="6"/>
      <c r="S11" s="6"/>
      <c r="T11" s="6"/>
      <c r="U11" s="6"/>
      <c r="V11" s="6"/>
      <c r="W11" s="6"/>
      <c r="X11" s="6"/>
      <c r="Y11" s="6"/>
      <c r="Z11" s="6"/>
    </row>
    <row r="12" spans="1:26" ht="13.2">
      <c r="A12" s="7" t="s">
        <v>22</v>
      </c>
      <c r="B12" s="6"/>
      <c r="C12" s="6"/>
      <c r="D12" s="6"/>
      <c r="E12" s="6"/>
      <c r="F12" s="6"/>
      <c r="G12" s="6"/>
      <c r="H12" s="6"/>
      <c r="I12" s="6"/>
      <c r="J12" s="6"/>
      <c r="K12" s="6"/>
      <c r="L12" s="6"/>
      <c r="M12" s="6"/>
      <c r="N12" s="6"/>
      <c r="O12" s="6"/>
      <c r="P12" s="6"/>
      <c r="Q12" s="6"/>
      <c r="R12" s="6"/>
      <c r="S12" s="6"/>
      <c r="T12" s="6"/>
      <c r="U12" s="6"/>
      <c r="V12" s="6"/>
      <c r="W12" s="6"/>
      <c r="X12" s="6"/>
      <c r="Y12" s="6"/>
      <c r="Z12" s="6"/>
    </row>
    <row r="13" spans="1:26" ht="13.2">
      <c r="A13" s="7" t="s">
        <v>17</v>
      </c>
      <c r="B13" s="6"/>
      <c r="C13" s="6"/>
      <c r="D13" s="6"/>
      <c r="E13" s="6"/>
      <c r="F13" s="6"/>
      <c r="G13" s="6"/>
      <c r="H13" s="6"/>
      <c r="I13" s="6"/>
      <c r="J13" s="6"/>
      <c r="K13" s="6"/>
      <c r="L13" s="6"/>
      <c r="M13" s="6"/>
      <c r="N13" s="6"/>
      <c r="O13" s="6"/>
      <c r="P13" s="6"/>
      <c r="Q13" s="6"/>
      <c r="R13" s="6"/>
      <c r="S13" s="6"/>
      <c r="T13" s="6"/>
      <c r="U13" s="6"/>
      <c r="V13" s="6"/>
      <c r="W13" s="6"/>
      <c r="X13" s="6"/>
      <c r="Y13" s="6"/>
      <c r="Z13" s="6"/>
    </row>
    <row r="14" spans="1:26" ht="13.2">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3.2">
      <c r="A15" s="231" t="s">
        <v>34</v>
      </c>
      <c r="B15" s="226"/>
      <c r="C15" s="226"/>
      <c r="D15" s="226"/>
      <c r="E15" s="226"/>
      <c r="F15" s="226"/>
      <c r="G15" s="227"/>
      <c r="H15" s="6"/>
      <c r="I15" s="6"/>
      <c r="J15" s="6"/>
      <c r="K15" s="6"/>
      <c r="L15" s="6"/>
      <c r="M15" s="6"/>
      <c r="N15" s="6"/>
      <c r="O15" s="6"/>
      <c r="P15" s="6"/>
      <c r="Q15" s="6"/>
      <c r="R15" s="6"/>
      <c r="S15" s="6"/>
      <c r="T15" s="6"/>
      <c r="U15" s="6"/>
      <c r="V15" s="6"/>
      <c r="W15" s="6"/>
      <c r="X15" s="6"/>
      <c r="Y15" s="6"/>
      <c r="Z15" s="6"/>
    </row>
    <row r="16" spans="1:26" ht="26.4">
      <c r="A16" s="14" t="s">
        <v>44</v>
      </c>
      <c r="B16" s="14" t="s">
        <v>46</v>
      </c>
      <c r="C16" s="14" t="s">
        <v>47</v>
      </c>
      <c r="D16" s="14" t="s">
        <v>48</v>
      </c>
      <c r="E16" s="14" t="s">
        <v>9</v>
      </c>
      <c r="F16" s="14" t="s">
        <v>52</v>
      </c>
      <c r="G16" s="3" t="s">
        <v>54</v>
      </c>
      <c r="H16" s="6"/>
      <c r="I16" s="6"/>
      <c r="J16" s="6"/>
      <c r="K16" s="6"/>
      <c r="L16" s="6"/>
      <c r="M16" s="6"/>
      <c r="N16" s="6"/>
      <c r="O16" s="6"/>
      <c r="P16" s="6"/>
      <c r="Q16" s="6"/>
      <c r="R16" s="6"/>
      <c r="S16" s="6"/>
      <c r="T16" s="6"/>
      <c r="U16" s="6"/>
      <c r="V16" s="6"/>
      <c r="W16" s="6"/>
      <c r="X16" s="6"/>
      <c r="Y16" s="6"/>
      <c r="Z16" s="6"/>
    </row>
    <row r="17" spans="1:26" ht="13.2">
      <c r="A17" s="15">
        <v>1</v>
      </c>
      <c r="B17" s="7" t="s">
        <v>60</v>
      </c>
      <c r="C17" s="16">
        <v>800</v>
      </c>
      <c r="D17" s="17">
        <v>2</v>
      </c>
      <c r="E17" s="17">
        <f t="shared" ref="E17:E18" si="0">C17*D17</f>
        <v>1600</v>
      </c>
      <c r="F17" s="19" t="s">
        <v>69</v>
      </c>
      <c r="G17" s="7" t="s">
        <v>94</v>
      </c>
      <c r="H17" s="6"/>
      <c r="I17" s="6"/>
      <c r="J17" s="6"/>
      <c r="K17" s="6"/>
      <c r="L17" s="6"/>
      <c r="M17" s="6"/>
      <c r="N17" s="6"/>
      <c r="O17" s="6"/>
      <c r="P17" s="6"/>
      <c r="Q17" s="6"/>
      <c r="R17" s="6"/>
      <c r="S17" s="6"/>
      <c r="T17" s="6"/>
      <c r="U17" s="6"/>
      <c r="V17" s="6"/>
      <c r="W17" s="6"/>
      <c r="X17" s="6"/>
      <c r="Y17" s="6"/>
      <c r="Z17" s="6"/>
    </row>
    <row r="18" spans="1:26" ht="13.2">
      <c r="A18" s="15">
        <v>2</v>
      </c>
      <c r="B18" s="7" t="s">
        <v>96</v>
      </c>
      <c r="C18" s="16">
        <v>800</v>
      </c>
      <c r="D18" s="17">
        <v>2</v>
      </c>
      <c r="E18" s="17">
        <f t="shared" si="0"/>
        <v>1600</v>
      </c>
      <c r="F18" s="19" t="s">
        <v>69</v>
      </c>
      <c r="G18" s="7" t="s">
        <v>94</v>
      </c>
      <c r="H18" s="6"/>
      <c r="I18" s="6"/>
      <c r="J18" s="6"/>
      <c r="K18" s="6"/>
      <c r="L18" s="6"/>
      <c r="M18" s="6"/>
      <c r="N18" s="6"/>
      <c r="O18" s="6"/>
      <c r="P18" s="6"/>
      <c r="Q18" s="6"/>
      <c r="R18" s="6"/>
      <c r="S18" s="6"/>
      <c r="T18" s="6"/>
      <c r="U18" s="6"/>
      <c r="V18" s="6"/>
      <c r="W18" s="6"/>
      <c r="X18" s="6"/>
      <c r="Y18" s="6"/>
      <c r="Z18" s="6"/>
    </row>
    <row r="19" spans="1:26" ht="13.2">
      <c r="A19" s="6"/>
      <c r="B19" s="6"/>
      <c r="C19" s="6"/>
      <c r="D19" s="23" t="s">
        <v>5</v>
      </c>
      <c r="E19" s="23">
        <f>SUM(E17:E18)</f>
        <v>3200</v>
      </c>
      <c r="F19" s="6"/>
      <c r="G19" s="6"/>
      <c r="H19" s="6"/>
      <c r="I19" s="6"/>
      <c r="J19" s="6"/>
      <c r="K19" s="6"/>
      <c r="L19" s="6"/>
      <c r="M19" s="6"/>
      <c r="N19" s="6"/>
      <c r="O19" s="6"/>
      <c r="P19" s="6"/>
      <c r="Q19" s="6"/>
      <c r="R19" s="6"/>
      <c r="S19" s="6"/>
      <c r="T19" s="6"/>
      <c r="U19" s="6"/>
      <c r="V19" s="6"/>
      <c r="W19" s="6"/>
      <c r="X19" s="6"/>
      <c r="Y19" s="6"/>
      <c r="Z19" s="6"/>
    </row>
    <row r="20" spans="1:26" ht="13.2">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3.2">
      <c r="A21" s="231" t="s">
        <v>103</v>
      </c>
      <c r="B21" s="226"/>
      <c r="C21" s="226"/>
      <c r="D21" s="226"/>
      <c r="E21" s="226"/>
      <c r="F21" s="226"/>
      <c r="G21" s="227"/>
      <c r="H21" s="6"/>
      <c r="I21" s="6"/>
      <c r="J21" s="6"/>
      <c r="K21" s="6"/>
      <c r="L21" s="6"/>
      <c r="M21" s="6"/>
      <c r="N21" s="6"/>
      <c r="O21" s="6"/>
      <c r="P21" s="6"/>
      <c r="Q21" s="6"/>
      <c r="R21" s="6"/>
      <c r="S21" s="6"/>
      <c r="T21" s="6"/>
      <c r="U21" s="6"/>
      <c r="V21" s="6"/>
      <c r="W21" s="6"/>
      <c r="X21" s="6"/>
      <c r="Y21" s="6"/>
      <c r="Z21" s="6"/>
    </row>
    <row r="22" spans="1:26" ht="26.4">
      <c r="A22" s="14" t="s">
        <v>44</v>
      </c>
      <c r="B22" s="14" t="s">
        <v>46</v>
      </c>
      <c r="C22" s="14" t="s">
        <v>47</v>
      </c>
      <c r="D22" s="14" t="s">
        <v>48</v>
      </c>
      <c r="E22" s="14" t="s">
        <v>9</v>
      </c>
      <c r="F22" s="14" t="s">
        <v>52</v>
      </c>
      <c r="G22" s="3" t="s">
        <v>54</v>
      </c>
      <c r="H22" s="6"/>
      <c r="I22" s="6"/>
      <c r="J22" s="6"/>
      <c r="K22" s="6"/>
      <c r="L22" s="6"/>
      <c r="M22" s="6"/>
      <c r="N22" s="6"/>
      <c r="O22" s="6"/>
      <c r="P22" s="6"/>
      <c r="Q22" s="6"/>
      <c r="R22" s="6"/>
      <c r="S22" s="6"/>
      <c r="T22" s="6"/>
      <c r="U22" s="6"/>
      <c r="V22" s="6"/>
      <c r="W22" s="6"/>
      <c r="X22" s="6"/>
      <c r="Y22" s="6"/>
      <c r="Z22" s="6"/>
    </row>
    <row r="23" spans="1:26" ht="13.2">
      <c r="A23" s="11">
        <v>1</v>
      </c>
      <c r="B23" s="3" t="s">
        <v>131</v>
      </c>
      <c r="C23" s="25">
        <v>1200</v>
      </c>
      <c r="D23" s="25">
        <v>4</v>
      </c>
      <c r="E23" s="11">
        <f t="shared" ref="E23:E38" si="1">C23*D23</f>
        <v>4800</v>
      </c>
      <c r="F23" s="26" t="s">
        <v>69</v>
      </c>
      <c r="G23" s="7" t="s">
        <v>140</v>
      </c>
      <c r="H23" s="6"/>
      <c r="I23" s="6"/>
      <c r="J23" s="6"/>
      <c r="K23" s="6"/>
      <c r="L23" s="6"/>
      <c r="M23" s="6"/>
      <c r="N23" s="6"/>
      <c r="O23" s="6"/>
      <c r="P23" s="6"/>
      <c r="Q23" s="6"/>
      <c r="R23" s="6"/>
      <c r="S23" s="6"/>
      <c r="T23" s="6"/>
      <c r="U23" s="6"/>
      <c r="V23" s="6"/>
      <c r="W23" s="6"/>
      <c r="X23" s="6"/>
      <c r="Y23" s="6"/>
      <c r="Z23" s="6"/>
    </row>
    <row r="24" spans="1:26" ht="13.2">
      <c r="A24" s="11">
        <v>2</v>
      </c>
      <c r="B24" s="3" t="s">
        <v>142</v>
      </c>
      <c r="C24" s="25">
        <v>200</v>
      </c>
      <c r="D24" s="25">
        <v>6</v>
      </c>
      <c r="E24" s="11">
        <f t="shared" si="1"/>
        <v>1200</v>
      </c>
      <c r="F24" s="26" t="s">
        <v>69</v>
      </c>
      <c r="G24" s="7"/>
      <c r="H24" s="6"/>
      <c r="I24" s="6"/>
      <c r="J24" s="6"/>
      <c r="K24" s="6"/>
      <c r="L24" s="6"/>
      <c r="M24" s="6"/>
      <c r="N24" s="6"/>
      <c r="O24" s="6"/>
      <c r="P24" s="6"/>
      <c r="Q24" s="6"/>
      <c r="R24" s="6"/>
      <c r="S24" s="6"/>
      <c r="T24" s="6"/>
      <c r="U24" s="6"/>
      <c r="V24" s="6"/>
      <c r="W24" s="6"/>
      <c r="X24" s="6"/>
      <c r="Y24" s="6"/>
      <c r="Z24" s="6"/>
    </row>
    <row r="25" spans="1:26" ht="13.2">
      <c r="A25" s="11">
        <v>3</v>
      </c>
      <c r="B25" s="3" t="s">
        <v>147</v>
      </c>
      <c r="C25" s="25">
        <v>1300</v>
      </c>
      <c r="D25" s="25">
        <v>1</v>
      </c>
      <c r="E25" s="11">
        <f t="shared" si="1"/>
        <v>1300</v>
      </c>
      <c r="F25" s="26" t="s">
        <v>69</v>
      </c>
      <c r="G25" s="7"/>
      <c r="H25" s="6"/>
      <c r="I25" s="6"/>
      <c r="J25" s="6"/>
      <c r="K25" s="6"/>
      <c r="L25" s="6"/>
      <c r="M25" s="6"/>
      <c r="N25" s="6"/>
      <c r="O25" s="6"/>
      <c r="P25" s="6"/>
      <c r="Q25" s="6"/>
      <c r="R25" s="6"/>
      <c r="S25" s="6"/>
      <c r="T25" s="6"/>
      <c r="U25" s="6"/>
      <c r="V25" s="6"/>
      <c r="W25" s="6"/>
      <c r="X25" s="6"/>
      <c r="Y25" s="6"/>
      <c r="Z25" s="6"/>
    </row>
    <row r="26" spans="1:26" ht="13.2">
      <c r="A26" s="11">
        <v>4</v>
      </c>
      <c r="B26" s="3" t="s">
        <v>152</v>
      </c>
      <c r="C26" s="25">
        <v>100</v>
      </c>
      <c r="D26" s="25">
        <v>3</v>
      </c>
      <c r="E26" s="11">
        <f t="shared" si="1"/>
        <v>300</v>
      </c>
      <c r="F26" s="26" t="s">
        <v>69</v>
      </c>
      <c r="G26" s="7"/>
      <c r="H26" s="6"/>
      <c r="I26" s="6"/>
      <c r="J26" s="6"/>
      <c r="K26" s="6"/>
      <c r="L26" s="6"/>
      <c r="M26" s="6"/>
      <c r="N26" s="6"/>
      <c r="O26" s="6"/>
      <c r="P26" s="6"/>
      <c r="Q26" s="6"/>
      <c r="R26" s="6"/>
      <c r="S26" s="6"/>
      <c r="T26" s="6"/>
      <c r="U26" s="6"/>
      <c r="V26" s="6"/>
      <c r="W26" s="6"/>
      <c r="X26" s="6"/>
      <c r="Y26" s="6"/>
      <c r="Z26" s="6"/>
    </row>
    <row r="27" spans="1:26" ht="13.2">
      <c r="A27" s="11">
        <v>5</v>
      </c>
      <c r="B27" s="3" t="s">
        <v>154</v>
      </c>
      <c r="C27" s="25">
        <v>1000</v>
      </c>
      <c r="D27" s="25">
        <v>2</v>
      </c>
      <c r="E27" s="11">
        <f t="shared" si="1"/>
        <v>2000</v>
      </c>
      <c r="F27" s="31" t="s">
        <v>69</v>
      </c>
      <c r="G27" s="7"/>
      <c r="H27" s="6"/>
      <c r="I27" s="6"/>
      <c r="J27" s="6"/>
      <c r="K27" s="6"/>
      <c r="L27" s="6"/>
      <c r="M27" s="6"/>
      <c r="N27" s="6"/>
      <c r="O27" s="6"/>
      <c r="P27" s="6"/>
      <c r="Q27" s="6"/>
      <c r="R27" s="6"/>
      <c r="S27" s="6"/>
      <c r="T27" s="6"/>
      <c r="U27" s="6"/>
      <c r="V27" s="6"/>
      <c r="W27" s="6"/>
      <c r="X27" s="6"/>
      <c r="Y27" s="6"/>
      <c r="Z27" s="6"/>
    </row>
    <row r="28" spans="1:26" ht="13.2">
      <c r="A28" s="11">
        <v>6</v>
      </c>
      <c r="B28" s="3" t="s">
        <v>157</v>
      </c>
      <c r="C28" s="25">
        <v>800</v>
      </c>
      <c r="D28" s="25">
        <v>4</v>
      </c>
      <c r="E28" s="11">
        <f t="shared" si="1"/>
        <v>3200</v>
      </c>
      <c r="F28" s="26" t="s">
        <v>69</v>
      </c>
      <c r="G28" s="7"/>
      <c r="H28" s="6"/>
      <c r="I28" s="6"/>
      <c r="J28" s="6"/>
      <c r="K28" s="6"/>
      <c r="L28" s="6"/>
      <c r="M28" s="6"/>
      <c r="N28" s="6"/>
      <c r="O28" s="6"/>
      <c r="P28" s="6"/>
      <c r="Q28" s="6"/>
      <c r="R28" s="6"/>
      <c r="S28" s="6"/>
      <c r="T28" s="6"/>
      <c r="U28" s="6"/>
      <c r="V28" s="6"/>
      <c r="W28" s="6"/>
      <c r="X28" s="6"/>
      <c r="Y28" s="6"/>
      <c r="Z28" s="6"/>
    </row>
    <row r="29" spans="1:26" ht="13.2">
      <c r="A29" s="11">
        <v>7</v>
      </c>
      <c r="B29" s="34" t="s">
        <v>161</v>
      </c>
      <c r="C29" s="25">
        <v>100</v>
      </c>
      <c r="D29" s="25">
        <v>2</v>
      </c>
      <c r="E29" s="11">
        <f t="shared" si="1"/>
        <v>200</v>
      </c>
      <c r="F29" s="26" t="s">
        <v>69</v>
      </c>
      <c r="G29" s="7"/>
      <c r="H29" s="6"/>
      <c r="I29" s="6"/>
      <c r="J29" s="6"/>
      <c r="K29" s="6"/>
      <c r="L29" s="6"/>
      <c r="M29" s="6"/>
      <c r="N29" s="6"/>
      <c r="O29" s="6"/>
      <c r="P29" s="6"/>
      <c r="Q29" s="6"/>
      <c r="R29" s="6"/>
      <c r="S29" s="6"/>
      <c r="T29" s="6"/>
      <c r="U29" s="6"/>
      <c r="V29" s="6"/>
      <c r="W29" s="6"/>
      <c r="X29" s="6"/>
      <c r="Y29" s="6"/>
      <c r="Z29" s="6"/>
    </row>
    <row r="30" spans="1:26" ht="13.2">
      <c r="A30" s="11">
        <v>8</v>
      </c>
      <c r="B30" s="35" t="s">
        <v>165</v>
      </c>
      <c r="C30" s="25">
        <v>900</v>
      </c>
      <c r="D30" s="25">
        <v>3</v>
      </c>
      <c r="E30" s="11">
        <f t="shared" si="1"/>
        <v>2700</v>
      </c>
      <c r="F30" s="31" t="s">
        <v>69</v>
      </c>
      <c r="G30" s="7" t="s">
        <v>168</v>
      </c>
      <c r="H30" s="6"/>
      <c r="I30" s="6"/>
      <c r="J30" s="6"/>
      <c r="K30" s="6"/>
      <c r="L30" s="6"/>
      <c r="M30" s="6"/>
      <c r="N30" s="6"/>
      <c r="O30" s="6"/>
      <c r="P30" s="6"/>
      <c r="Q30" s="6"/>
      <c r="R30" s="6"/>
      <c r="S30" s="6"/>
      <c r="T30" s="6"/>
      <c r="U30" s="6"/>
      <c r="V30" s="6"/>
      <c r="W30" s="6"/>
      <c r="X30" s="6"/>
      <c r="Y30" s="6"/>
      <c r="Z30" s="6"/>
    </row>
    <row r="31" spans="1:26" ht="13.2">
      <c r="A31" s="11">
        <v>9</v>
      </c>
      <c r="B31" s="3" t="s">
        <v>169</v>
      </c>
      <c r="C31" s="25">
        <v>820</v>
      </c>
      <c r="D31" s="25">
        <v>3</v>
      </c>
      <c r="E31" s="11">
        <f t="shared" si="1"/>
        <v>2460</v>
      </c>
      <c r="F31" s="31" t="s">
        <v>69</v>
      </c>
      <c r="G31" s="7"/>
      <c r="H31" s="6"/>
      <c r="I31" s="6"/>
      <c r="J31" s="6"/>
      <c r="K31" s="6"/>
      <c r="L31" s="6"/>
      <c r="M31" s="6"/>
      <c r="N31" s="6"/>
      <c r="O31" s="6"/>
      <c r="P31" s="6"/>
      <c r="Q31" s="6"/>
      <c r="R31" s="6"/>
      <c r="S31" s="6"/>
      <c r="T31" s="6"/>
      <c r="U31" s="6"/>
      <c r="V31" s="6"/>
      <c r="W31" s="6"/>
      <c r="X31" s="6"/>
      <c r="Y31" s="6"/>
      <c r="Z31" s="6"/>
    </row>
    <row r="32" spans="1:26" ht="13.2">
      <c r="A32" s="11">
        <v>10</v>
      </c>
      <c r="B32" s="3" t="s">
        <v>171</v>
      </c>
      <c r="C32" s="25">
        <v>2550</v>
      </c>
      <c r="D32" s="25">
        <v>2</v>
      </c>
      <c r="E32" s="11">
        <f t="shared" si="1"/>
        <v>5100</v>
      </c>
      <c r="F32" s="31" t="s">
        <v>69</v>
      </c>
      <c r="G32" s="7"/>
      <c r="H32" s="6"/>
      <c r="I32" s="6"/>
      <c r="J32" s="6"/>
      <c r="K32" s="6"/>
      <c r="L32" s="6"/>
      <c r="M32" s="6"/>
      <c r="N32" s="6"/>
      <c r="O32" s="6"/>
      <c r="P32" s="6"/>
      <c r="Q32" s="6"/>
      <c r="R32" s="6"/>
      <c r="S32" s="6"/>
      <c r="T32" s="6"/>
      <c r="U32" s="6"/>
      <c r="V32" s="6"/>
      <c r="W32" s="6"/>
      <c r="X32" s="6"/>
      <c r="Y32" s="6"/>
      <c r="Z32" s="6"/>
    </row>
    <row r="33" spans="1:26" ht="13.2">
      <c r="A33" s="11">
        <v>11</v>
      </c>
      <c r="B33" s="3" t="s">
        <v>172</v>
      </c>
      <c r="C33" s="25">
        <v>526</v>
      </c>
      <c r="D33" s="25">
        <v>10</v>
      </c>
      <c r="E33" s="11">
        <f t="shared" si="1"/>
        <v>5260</v>
      </c>
      <c r="F33" s="31" t="s">
        <v>69</v>
      </c>
      <c r="G33" s="7"/>
      <c r="H33" s="6"/>
      <c r="I33" s="6"/>
      <c r="J33" s="6"/>
      <c r="K33" s="6"/>
      <c r="L33" s="6"/>
      <c r="M33" s="6"/>
      <c r="N33" s="6"/>
      <c r="O33" s="6"/>
      <c r="P33" s="6"/>
      <c r="Q33" s="6"/>
      <c r="R33" s="6"/>
      <c r="S33" s="6"/>
      <c r="T33" s="6"/>
      <c r="U33" s="6"/>
      <c r="V33" s="6"/>
      <c r="W33" s="6"/>
      <c r="X33" s="6"/>
      <c r="Y33" s="6"/>
      <c r="Z33" s="6"/>
    </row>
    <row r="34" spans="1:26" ht="13.2">
      <c r="A34" s="11">
        <v>12</v>
      </c>
      <c r="B34" s="3" t="s">
        <v>173</v>
      </c>
      <c r="C34" s="25">
        <v>130</v>
      </c>
      <c r="D34" s="25">
        <v>8</v>
      </c>
      <c r="E34" s="11">
        <f t="shared" si="1"/>
        <v>1040</v>
      </c>
      <c r="F34" s="31" t="s">
        <v>69</v>
      </c>
      <c r="G34" s="7"/>
      <c r="H34" s="6"/>
      <c r="I34" s="6"/>
      <c r="J34" s="6"/>
      <c r="K34" s="6"/>
      <c r="L34" s="6"/>
      <c r="M34" s="6"/>
      <c r="N34" s="6"/>
      <c r="O34" s="6"/>
      <c r="P34" s="6"/>
      <c r="Q34" s="6"/>
      <c r="R34" s="6"/>
      <c r="S34" s="6"/>
      <c r="T34" s="6"/>
      <c r="U34" s="6"/>
      <c r="V34" s="6"/>
      <c r="W34" s="6"/>
      <c r="X34" s="6"/>
      <c r="Y34" s="6"/>
      <c r="Z34" s="6"/>
    </row>
    <row r="35" spans="1:26" ht="13.2">
      <c r="A35" s="11">
        <v>13</v>
      </c>
      <c r="B35" s="3" t="s">
        <v>175</v>
      </c>
      <c r="C35" s="25">
        <v>350</v>
      </c>
      <c r="D35" s="25">
        <v>2</v>
      </c>
      <c r="E35" s="11">
        <f t="shared" si="1"/>
        <v>700</v>
      </c>
      <c r="F35" s="31" t="s">
        <v>69</v>
      </c>
      <c r="G35" s="7"/>
      <c r="H35" s="6"/>
      <c r="I35" s="6"/>
      <c r="J35" s="6"/>
      <c r="K35" s="6"/>
      <c r="L35" s="6"/>
      <c r="M35" s="6"/>
      <c r="N35" s="6"/>
      <c r="O35" s="6"/>
      <c r="P35" s="6"/>
      <c r="Q35" s="6"/>
      <c r="R35" s="6"/>
      <c r="S35" s="6"/>
      <c r="T35" s="6"/>
      <c r="U35" s="6"/>
      <c r="V35" s="6"/>
      <c r="W35" s="6"/>
      <c r="X35" s="6"/>
      <c r="Y35" s="6"/>
      <c r="Z35" s="6"/>
    </row>
    <row r="36" spans="1:26" ht="13.2">
      <c r="A36" s="11">
        <v>14</v>
      </c>
      <c r="B36" s="3" t="s">
        <v>180</v>
      </c>
      <c r="C36" s="25">
        <v>395</v>
      </c>
      <c r="D36" s="25">
        <v>2</v>
      </c>
      <c r="E36" s="11">
        <f t="shared" si="1"/>
        <v>790</v>
      </c>
      <c r="F36" s="31" t="s">
        <v>69</v>
      </c>
      <c r="G36" s="7"/>
      <c r="H36" s="6"/>
      <c r="I36" s="6"/>
      <c r="J36" s="6"/>
      <c r="K36" s="6"/>
      <c r="L36" s="6"/>
      <c r="M36" s="6"/>
      <c r="N36" s="6"/>
      <c r="O36" s="6"/>
      <c r="P36" s="6"/>
      <c r="Q36" s="6"/>
      <c r="R36" s="6"/>
      <c r="S36" s="6"/>
      <c r="T36" s="6"/>
      <c r="U36" s="6"/>
      <c r="V36" s="6"/>
      <c r="W36" s="6"/>
      <c r="X36" s="6"/>
      <c r="Y36" s="6"/>
      <c r="Z36" s="6"/>
    </row>
    <row r="37" spans="1:26" ht="13.2">
      <c r="A37" s="11">
        <v>15</v>
      </c>
      <c r="B37" s="3" t="s">
        <v>183</v>
      </c>
      <c r="C37" s="25">
        <v>300</v>
      </c>
      <c r="D37" s="25">
        <v>2</v>
      </c>
      <c r="E37" s="11">
        <f t="shared" si="1"/>
        <v>600</v>
      </c>
      <c r="F37" s="31" t="s">
        <v>69</v>
      </c>
      <c r="G37" s="7"/>
      <c r="H37" s="6"/>
      <c r="I37" s="6"/>
      <c r="J37" s="6"/>
      <c r="K37" s="6"/>
      <c r="L37" s="6"/>
      <c r="M37" s="6"/>
      <c r="N37" s="6"/>
      <c r="O37" s="6"/>
      <c r="P37" s="6"/>
      <c r="Q37" s="6"/>
      <c r="R37" s="6"/>
      <c r="S37" s="6"/>
      <c r="T37" s="6"/>
      <c r="U37" s="6"/>
      <c r="V37" s="6"/>
      <c r="W37" s="6"/>
      <c r="X37" s="6"/>
      <c r="Y37" s="6"/>
      <c r="Z37" s="6"/>
    </row>
    <row r="38" spans="1:26" ht="13.2">
      <c r="A38" s="11">
        <v>16</v>
      </c>
      <c r="B38" s="3" t="s">
        <v>185</v>
      </c>
      <c r="C38" s="25">
        <v>75</v>
      </c>
      <c r="D38" s="25">
        <v>2</v>
      </c>
      <c r="E38" s="11">
        <f t="shared" si="1"/>
        <v>150</v>
      </c>
      <c r="F38" s="31" t="s">
        <v>69</v>
      </c>
      <c r="G38" s="7"/>
      <c r="H38" s="6"/>
      <c r="I38" s="6"/>
      <c r="J38" s="6"/>
      <c r="K38" s="6"/>
      <c r="L38" s="6"/>
      <c r="M38" s="6"/>
      <c r="N38" s="6"/>
      <c r="O38" s="6"/>
      <c r="P38" s="6"/>
      <c r="Q38" s="6"/>
      <c r="R38" s="6"/>
      <c r="S38" s="6"/>
      <c r="T38" s="6"/>
      <c r="U38" s="6"/>
      <c r="V38" s="6"/>
      <c r="W38" s="6"/>
      <c r="X38" s="6"/>
      <c r="Y38" s="6"/>
      <c r="Z38" s="6"/>
    </row>
    <row r="39" spans="1:26" ht="13.2">
      <c r="A39" s="11">
        <v>17</v>
      </c>
      <c r="B39" s="3" t="s">
        <v>186</v>
      </c>
      <c r="C39" s="7"/>
      <c r="D39" s="7"/>
      <c r="E39" s="7">
        <v>19000</v>
      </c>
      <c r="F39" s="7"/>
      <c r="G39" s="7" t="s">
        <v>187</v>
      </c>
      <c r="H39" s="6"/>
      <c r="I39" s="6"/>
      <c r="J39" s="6"/>
      <c r="K39" s="6"/>
      <c r="L39" s="6"/>
      <c r="M39" s="6"/>
      <c r="N39" s="6"/>
      <c r="O39" s="6"/>
      <c r="P39" s="6"/>
      <c r="Q39" s="6"/>
      <c r="R39" s="6"/>
      <c r="S39" s="6"/>
      <c r="T39" s="6"/>
      <c r="U39" s="6"/>
      <c r="V39" s="6"/>
      <c r="W39" s="6"/>
      <c r="X39" s="6"/>
      <c r="Y39" s="6"/>
      <c r="Z39" s="6"/>
    </row>
    <row r="40" spans="1:26" ht="13.8">
      <c r="A40" s="11">
        <v>18</v>
      </c>
      <c r="B40" s="37" t="s">
        <v>188</v>
      </c>
      <c r="C40" s="38">
        <v>8250</v>
      </c>
      <c r="D40" s="38">
        <v>1</v>
      </c>
      <c r="E40" s="39">
        <v>8250</v>
      </c>
      <c r="F40" s="40" t="s">
        <v>69</v>
      </c>
      <c r="G40" s="41" t="s">
        <v>190</v>
      </c>
      <c r="H40" s="6"/>
      <c r="I40" s="6"/>
      <c r="J40" s="6"/>
      <c r="K40" s="6"/>
      <c r="L40" s="6"/>
      <c r="M40" s="6"/>
      <c r="N40" s="6"/>
      <c r="O40" s="6"/>
      <c r="P40" s="6"/>
      <c r="Q40" s="6"/>
      <c r="R40" s="6"/>
      <c r="S40" s="6"/>
      <c r="T40" s="6"/>
      <c r="U40" s="6"/>
      <c r="V40" s="6"/>
      <c r="W40" s="6"/>
      <c r="X40" s="6"/>
      <c r="Y40" s="6"/>
      <c r="Z40" s="6"/>
    </row>
    <row r="41" spans="1:26" ht="13.8">
      <c r="A41" s="11">
        <v>19</v>
      </c>
      <c r="B41" s="37" t="s">
        <v>191</v>
      </c>
      <c r="C41" s="38">
        <v>1760</v>
      </c>
      <c r="D41" s="38">
        <v>2</v>
      </c>
      <c r="E41" s="39">
        <v>3520</v>
      </c>
      <c r="F41" s="40" t="s">
        <v>69</v>
      </c>
      <c r="G41" s="41"/>
      <c r="H41" s="6"/>
      <c r="I41" s="6"/>
      <c r="J41" s="6"/>
      <c r="K41" s="6"/>
      <c r="L41" s="6"/>
      <c r="M41" s="6"/>
      <c r="N41" s="6"/>
      <c r="O41" s="6"/>
      <c r="P41" s="6"/>
      <c r="Q41" s="6"/>
      <c r="R41" s="6"/>
      <c r="S41" s="6"/>
      <c r="T41" s="6"/>
      <c r="U41" s="6"/>
      <c r="V41" s="6"/>
      <c r="W41" s="6"/>
      <c r="X41" s="6"/>
      <c r="Y41" s="6"/>
      <c r="Z41" s="6"/>
    </row>
    <row r="42" spans="1:26" ht="13.8">
      <c r="A42" s="11">
        <v>20</v>
      </c>
      <c r="B42" s="37" t="s">
        <v>192</v>
      </c>
      <c r="C42" s="38">
        <v>2200</v>
      </c>
      <c r="D42" s="38">
        <v>1</v>
      </c>
      <c r="E42" s="39">
        <v>2200</v>
      </c>
      <c r="F42" s="40" t="s">
        <v>69</v>
      </c>
      <c r="G42" s="41"/>
      <c r="H42" s="6"/>
      <c r="I42" s="6"/>
      <c r="J42" s="6"/>
      <c r="K42" s="6"/>
      <c r="L42" s="6"/>
      <c r="M42" s="6"/>
      <c r="N42" s="6"/>
      <c r="O42" s="6"/>
      <c r="P42" s="6"/>
      <c r="Q42" s="6"/>
      <c r="R42" s="6"/>
      <c r="S42" s="6"/>
      <c r="T42" s="6"/>
      <c r="U42" s="6"/>
      <c r="V42" s="6"/>
      <c r="W42" s="6"/>
      <c r="X42" s="6"/>
      <c r="Y42" s="6"/>
      <c r="Z42" s="6"/>
    </row>
    <row r="43" spans="1:26" ht="13.8">
      <c r="A43" s="11">
        <v>21</v>
      </c>
      <c r="B43" s="37" t="s">
        <v>195</v>
      </c>
      <c r="C43" s="38">
        <v>3190</v>
      </c>
      <c r="D43" s="38">
        <v>1</v>
      </c>
      <c r="E43" s="39">
        <v>3190</v>
      </c>
      <c r="F43" s="40" t="s">
        <v>69</v>
      </c>
      <c r="G43" s="41"/>
      <c r="H43" s="6"/>
      <c r="I43" s="6"/>
      <c r="J43" s="6"/>
      <c r="K43" s="6"/>
      <c r="L43" s="6"/>
      <c r="M43" s="6"/>
      <c r="N43" s="6"/>
      <c r="O43" s="6"/>
      <c r="P43" s="6"/>
      <c r="Q43" s="6"/>
      <c r="R43" s="6"/>
      <c r="S43" s="6"/>
      <c r="T43" s="6"/>
      <c r="U43" s="6"/>
      <c r="V43" s="6"/>
      <c r="W43" s="6"/>
      <c r="X43" s="6"/>
      <c r="Y43" s="6"/>
      <c r="Z43" s="6"/>
    </row>
    <row r="44" spans="1:26" ht="13.8">
      <c r="A44" s="11">
        <v>22</v>
      </c>
      <c r="B44" s="37" t="s">
        <v>196</v>
      </c>
      <c r="C44" s="38">
        <v>5390</v>
      </c>
      <c r="D44" s="38">
        <v>1</v>
      </c>
      <c r="E44" s="39">
        <v>5390</v>
      </c>
      <c r="F44" s="40" t="s">
        <v>69</v>
      </c>
      <c r="G44" s="41"/>
      <c r="H44" s="6"/>
      <c r="I44" s="6"/>
      <c r="J44" s="6"/>
      <c r="K44" s="6"/>
      <c r="L44" s="6"/>
      <c r="M44" s="6"/>
      <c r="N44" s="6"/>
      <c r="O44" s="6"/>
      <c r="P44" s="6"/>
      <c r="Q44" s="6"/>
      <c r="R44" s="6"/>
      <c r="S44" s="6"/>
      <c r="T44" s="6"/>
      <c r="U44" s="6"/>
      <c r="V44" s="6"/>
      <c r="W44" s="6"/>
      <c r="X44" s="6"/>
      <c r="Y44" s="6"/>
      <c r="Z44" s="6"/>
    </row>
    <row r="45" spans="1:26" ht="14.4">
      <c r="A45" s="11">
        <v>23</v>
      </c>
      <c r="B45" s="42" t="s">
        <v>198</v>
      </c>
      <c r="C45" s="38">
        <v>21000</v>
      </c>
      <c r="D45" s="38">
        <v>1</v>
      </c>
      <c r="E45" s="39">
        <v>21000</v>
      </c>
      <c r="F45" s="43" t="s">
        <v>199</v>
      </c>
      <c r="G45" s="44"/>
      <c r="H45" s="6"/>
      <c r="I45" s="6"/>
      <c r="J45" s="6"/>
      <c r="K45" s="6"/>
      <c r="L45" s="6"/>
      <c r="M45" s="6"/>
      <c r="N45" s="6"/>
      <c r="O45" s="6"/>
      <c r="P45" s="6"/>
      <c r="Q45" s="6"/>
      <c r="R45" s="6"/>
      <c r="S45" s="6"/>
      <c r="T45" s="6"/>
      <c r="U45" s="6"/>
      <c r="V45" s="6"/>
      <c r="W45" s="6"/>
      <c r="X45" s="6"/>
      <c r="Y45" s="6"/>
      <c r="Z45" s="6"/>
    </row>
    <row r="46" spans="1:26" ht="13.8">
      <c r="A46" s="11">
        <v>24</v>
      </c>
      <c r="B46" s="37" t="s">
        <v>200</v>
      </c>
      <c r="C46" s="38">
        <v>5390</v>
      </c>
      <c r="D46" s="38">
        <v>1</v>
      </c>
      <c r="E46" s="39">
        <v>5390</v>
      </c>
      <c r="F46" s="40" t="s">
        <v>69</v>
      </c>
      <c r="G46" s="41"/>
      <c r="H46" s="6"/>
      <c r="I46" s="6"/>
      <c r="J46" s="6"/>
      <c r="K46" s="6"/>
      <c r="L46" s="6"/>
      <c r="M46" s="6"/>
      <c r="N46" s="6"/>
      <c r="O46" s="6"/>
      <c r="P46" s="6"/>
      <c r="Q46" s="6"/>
      <c r="R46" s="6"/>
      <c r="S46" s="6"/>
      <c r="T46" s="6"/>
      <c r="U46" s="6"/>
      <c r="V46" s="6"/>
      <c r="W46" s="6"/>
      <c r="X46" s="6"/>
      <c r="Y46" s="6"/>
      <c r="Z46" s="6"/>
    </row>
    <row r="47" spans="1:26" ht="13.8">
      <c r="A47" s="11">
        <v>25</v>
      </c>
      <c r="B47" s="37" t="s">
        <v>203</v>
      </c>
      <c r="C47" s="38">
        <v>120</v>
      </c>
      <c r="D47" s="38">
        <v>12</v>
      </c>
      <c r="E47" s="39">
        <v>1440</v>
      </c>
      <c r="F47" s="40" t="s">
        <v>69</v>
      </c>
      <c r="G47" s="41"/>
      <c r="H47" s="6"/>
      <c r="I47" s="6"/>
      <c r="J47" s="6"/>
      <c r="K47" s="6"/>
      <c r="L47" s="6"/>
      <c r="M47" s="6"/>
      <c r="N47" s="6"/>
      <c r="O47" s="6"/>
      <c r="P47" s="6"/>
      <c r="Q47" s="6"/>
      <c r="R47" s="6"/>
      <c r="S47" s="6"/>
      <c r="T47" s="6"/>
      <c r="U47" s="6"/>
      <c r="V47" s="6"/>
      <c r="W47" s="6"/>
      <c r="X47" s="6"/>
      <c r="Y47" s="6"/>
      <c r="Z47" s="6"/>
    </row>
    <row r="48" spans="1:26" ht="13.8">
      <c r="A48" s="11">
        <v>26</v>
      </c>
      <c r="B48" s="37" t="s">
        <v>205</v>
      </c>
      <c r="C48" s="38">
        <v>890</v>
      </c>
      <c r="D48" s="38">
        <v>5</v>
      </c>
      <c r="E48" s="39">
        <v>4450</v>
      </c>
      <c r="F48" s="40" t="s">
        <v>69</v>
      </c>
      <c r="G48" s="41"/>
      <c r="H48" s="6"/>
      <c r="I48" s="6"/>
      <c r="J48" s="6"/>
      <c r="K48" s="6"/>
      <c r="L48" s="6"/>
      <c r="M48" s="6"/>
      <c r="N48" s="6"/>
      <c r="O48" s="6"/>
      <c r="P48" s="6"/>
      <c r="Q48" s="6"/>
      <c r="R48" s="6"/>
      <c r="S48" s="6"/>
      <c r="T48" s="6"/>
      <c r="U48" s="6"/>
      <c r="V48" s="6"/>
      <c r="W48" s="6"/>
      <c r="X48" s="6"/>
      <c r="Y48" s="6"/>
      <c r="Z48" s="6"/>
    </row>
    <row r="49" spans="1:26" ht="13.8">
      <c r="A49" s="11">
        <v>27</v>
      </c>
      <c r="B49" s="37" t="s">
        <v>206</v>
      </c>
      <c r="C49" s="38">
        <v>70</v>
      </c>
      <c r="D49" s="38">
        <v>5</v>
      </c>
      <c r="E49" s="39">
        <v>350</v>
      </c>
      <c r="F49" s="40" t="s">
        <v>69</v>
      </c>
      <c r="G49" s="41"/>
      <c r="H49" s="6"/>
      <c r="I49" s="6"/>
      <c r="J49" s="6"/>
      <c r="K49" s="6"/>
      <c r="L49" s="6"/>
      <c r="M49" s="6"/>
      <c r="N49" s="6"/>
      <c r="O49" s="6"/>
      <c r="P49" s="6"/>
      <c r="Q49" s="6"/>
      <c r="R49" s="6"/>
      <c r="S49" s="6"/>
      <c r="T49" s="6"/>
      <c r="U49" s="6"/>
      <c r="V49" s="6"/>
      <c r="W49" s="6"/>
      <c r="X49" s="6"/>
      <c r="Y49" s="6"/>
      <c r="Z49" s="6"/>
    </row>
    <row r="50" spans="1:26" ht="13.8">
      <c r="A50" s="11">
        <v>28</v>
      </c>
      <c r="B50" s="37" t="s">
        <v>208</v>
      </c>
      <c r="C50" s="38">
        <v>575</v>
      </c>
      <c r="D50" s="38">
        <v>4</v>
      </c>
      <c r="E50" s="39">
        <v>2300</v>
      </c>
      <c r="F50" s="40" t="s">
        <v>69</v>
      </c>
      <c r="G50" s="41"/>
      <c r="H50" s="6"/>
      <c r="I50" s="6"/>
      <c r="J50" s="6"/>
      <c r="K50" s="6"/>
      <c r="L50" s="6"/>
      <c r="M50" s="6"/>
      <c r="N50" s="6"/>
      <c r="O50" s="6"/>
      <c r="P50" s="6"/>
      <c r="Q50" s="6"/>
      <c r="R50" s="6"/>
      <c r="S50" s="6"/>
      <c r="T50" s="6"/>
      <c r="U50" s="6"/>
      <c r="V50" s="6"/>
      <c r="W50" s="6"/>
      <c r="X50" s="6"/>
      <c r="Y50" s="6"/>
      <c r="Z50" s="6"/>
    </row>
    <row r="51" spans="1:26" ht="13.8">
      <c r="A51" s="11">
        <v>29</v>
      </c>
      <c r="B51" s="37" t="s">
        <v>209</v>
      </c>
      <c r="C51" s="38">
        <v>210</v>
      </c>
      <c r="D51" s="38">
        <v>4</v>
      </c>
      <c r="E51" s="39">
        <v>840</v>
      </c>
      <c r="F51" s="40" t="s">
        <v>69</v>
      </c>
      <c r="G51" s="41"/>
      <c r="H51" s="6"/>
      <c r="I51" s="6"/>
      <c r="J51" s="6"/>
      <c r="K51" s="6"/>
      <c r="L51" s="6"/>
      <c r="M51" s="6"/>
      <c r="N51" s="6"/>
      <c r="O51" s="6"/>
      <c r="P51" s="6"/>
      <c r="Q51" s="6"/>
      <c r="R51" s="6"/>
      <c r="S51" s="6"/>
      <c r="T51" s="6"/>
      <c r="U51" s="6"/>
      <c r="V51" s="6"/>
      <c r="W51" s="6"/>
      <c r="X51" s="6"/>
      <c r="Y51" s="6"/>
      <c r="Z51" s="6"/>
    </row>
    <row r="52" spans="1:26" ht="13.8">
      <c r="A52" s="11">
        <v>30</v>
      </c>
      <c r="B52" s="37" t="s">
        <v>210</v>
      </c>
      <c r="C52" s="38">
        <v>330</v>
      </c>
      <c r="D52" s="38">
        <v>4</v>
      </c>
      <c r="E52" s="39">
        <v>1320</v>
      </c>
      <c r="F52" s="40" t="s">
        <v>69</v>
      </c>
      <c r="G52" s="41"/>
      <c r="H52" s="6"/>
      <c r="I52" s="6"/>
      <c r="J52" s="6"/>
      <c r="K52" s="6"/>
      <c r="L52" s="6"/>
      <c r="M52" s="6"/>
      <c r="N52" s="6"/>
      <c r="O52" s="6"/>
      <c r="P52" s="6"/>
      <c r="Q52" s="6"/>
      <c r="R52" s="6"/>
      <c r="S52" s="6"/>
      <c r="T52" s="6"/>
      <c r="U52" s="6"/>
      <c r="V52" s="6"/>
      <c r="W52" s="6"/>
      <c r="X52" s="6"/>
      <c r="Y52" s="6"/>
      <c r="Z52" s="6"/>
    </row>
    <row r="53" spans="1:26" ht="13.8">
      <c r="A53" s="11">
        <v>31</v>
      </c>
      <c r="B53" s="37" t="s">
        <v>214</v>
      </c>
      <c r="C53" s="38">
        <v>550</v>
      </c>
      <c r="D53" s="38">
        <v>12</v>
      </c>
      <c r="E53" s="39">
        <v>6600</v>
      </c>
      <c r="F53" s="40" t="s">
        <v>69</v>
      </c>
      <c r="G53" s="41"/>
      <c r="H53" s="6"/>
      <c r="I53" s="6"/>
      <c r="J53" s="6"/>
      <c r="K53" s="6"/>
      <c r="L53" s="6"/>
      <c r="M53" s="6"/>
      <c r="N53" s="6"/>
      <c r="O53" s="6"/>
      <c r="P53" s="6"/>
      <c r="Q53" s="6"/>
      <c r="R53" s="6"/>
      <c r="S53" s="6"/>
      <c r="T53" s="6"/>
      <c r="U53" s="6"/>
      <c r="V53" s="6"/>
      <c r="W53" s="6"/>
      <c r="X53" s="6"/>
      <c r="Y53" s="6"/>
      <c r="Z53" s="6"/>
    </row>
    <row r="54" spans="1:26" ht="13.8">
      <c r="A54" s="11">
        <v>32</v>
      </c>
      <c r="B54" s="37" t="s">
        <v>215</v>
      </c>
      <c r="C54" s="38">
        <v>380</v>
      </c>
      <c r="D54" s="38">
        <v>12</v>
      </c>
      <c r="E54" s="39">
        <v>4560</v>
      </c>
      <c r="F54" s="40" t="s">
        <v>69</v>
      </c>
      <c r="G54" s="41"/>
      <c r="H54" s="6"/>
      <c r="I54" s="6"/>
      <c r="J54" s="6"/>
      <c r="K54" s="6"/>
      <c r="L54" s="6"/>
      <c r="M54" s="6"/>
      <c r="N54" s="6"/>
      <c r="O54" s="6"/>
      <c r="P54" s="6"/>
      <c r="Q54" s="6"/>
      <c r="R54" s="6"/>
      <c r="S54" s="6"/>
      <c r="T54" s="6"/>
      <c r="U54" s="6"/>
      <c r="V54" s="6"/>
      <c r="W54" s="6"/>
      <c r="X54" s="6"/>
      <c r="Y54" s="6"/>
      <c r="Z54" s="6"/>
    </row>
    <row r="55" spans="1:26" ht="13.8">
      <c r="A55" s="11">
        <v>33</v>
      </c>
      <c r="B55" s="37" t="s">
        <v>216</v>
      </c>
      <c r="C55" s="38">
        <v>160</v>
      </c>
      <c r="D55" s="38">
        <v>5</v>
      </c>
      <c r="E55" s="39">
        <v>800</v>
      </c>
      <c r="F55" s="40" t="s">
        <v>69</v>
      </c>
      <c r="G55" s="41"/>
      <c r="H55" s="6"/>
      <c r="I55" s="6"/>
      <c r="J55" s="6"/>
      <c r="K55" s="6"/>
      <c r="L55" s="6"/>
      <c r="M55" s="6"/>
      <c r="N55" s="6"/>
      <c r="O55" s="6"/>
      <c r="P55" s="6"/>
      <c r="Q55" s="6"/>
      <c r="R55" s="6"/>
      <c r="S55" s="6"/>
      <c r="T55" s="6"/>
      <c r="U55" s="6"/>
      <c r="V55" s="6"/>
      <c r="W55" s="6"/>
      <c r="X55" s="6"/>
      <c r="Y55" s="6"/>
      <c r="Z55" s="6"/>
    </row>
    <row r="56" spans="1:26" ht="13.8">
      <c r="A56" s="11">
        <v>34</v>
      </c>
      <c r="B56" s="37" t="s">
        <v>217</v>
      </c>
      <c r="C56" s="38">
        <v>210</v>
      </c>
      <c r="D56" s="38">
        <v>5</v>
      </c>
      <c r="E56" s="39">
        <v>1050</v>
      </c>
      <c r="F56" s="40" t="s">
        <v>69</v>
      </c>
      <c r="G56" s="41"/>
      <c r="H56" s="6"/>
      <c r="I56" s="6"/>
      <c r="J56" s="6"/>
      <c r="K56" s="6"/>
      <c r="L56" s="6"/>
      <c r="M56" s="6"/>
      <c r="N56" s="6"/>
      <c r="O56" s="6"/>
      <c r="P56" s="6"/>
      <c r="Q56" s="6"/>
      <c r="R56" s="6"/>
      <c r="S56" s="6"/>
      <c r="T56" s="6"/>
      <c r="U56" s="6"/>
      <c r="V56" s="6"/>
      <c r="W56" s="6"/>
      <c r="X56" s="6"/>
      <c r="Y56" s="6"/>
      <c r="Z56" s="6"/>
    </row>
    <row r="57" spans="1:26" ht="13.8">
      <c r="A57" s="11">
        <v>35</v>
      </c>
      <c r="B57" s="37" t="s">
        <v>218</v>
      </c>
      <c r="C57" s="38">
        <v>80</v>
      </c>
      <c r="D57" s="38">
        <v>5</v>
      </c>
      <c r="E57" s="39">
        <v>400</v>
      </c>
      <c r="F57" s="40" t="s">
        <v>69</v>
      </c>
      <c r="G57" s="41"/>
      <c r="H57" s="6"/>
      <c r="I57" s="6"/>
      <c r="J57" s="6"/>
      <c r="K57" s="6"/>
      <c r="L57" s="6"/>
      <c r="M57" s="6"/>
      <c r="N57" s="6"/>
      <c r="O57" s="6"/>
      <c r="P57" s="6"/>
      <c r="Q57" s="6"/>
      <c r="R57" s="6"/>
      <c r="S57" s="6"/>
      <c r="T57" s="6"/>
      <c r="U57" s="6"/>
      <c r="V57" s="6"/>
      <c r="W57" s="6"/>
      <c r="X57" s="6"/>
      <c r="Y57" s="6"/>
      <c r="Z57" s="6"/>
    </row>
    <row r="58" spans="1:26" ht="13.8">
      <c r="A58" s="11">
        <v>36</v>
      </c>
      <c r="B58" s="37" t="s">
        <v>219</v>
      </c>
      <c r="C58" s="38">
        <v>125</v>
      </c>
      <c r="D58" s="38">
        <v>12</v>
      </c>
      <c r="E58" s="39">
        <v>1500</v>
      </c>
      <c r="F58" s="40" t="s">
        <v>69</v>
      </c>
      <c r="G58" s="41"/>
      <c r="H58" s="6"/>
      <c r="I58" s="6"/>
      <c r="J58" s="6"/>
      <c r="K58" s="6"/>
      <c r="L58" s="6"/>
      <c r="M58" s="6"/>
      <c r="N58" s="6"/>
      <c r="O58" s="6"/>
      <c r="P58" s="6"/>
      <c r="Q58" s="6"/>
      <c r="R58" s="6"/>
      <c r="S58" s="6"/>
      <c r="T58" s="6"/>
      <c r="U58" s="6"/>
      <c r="V58" s="6"/>
      <c r="W58" s="6"/>
      <c r="X58" s="6"/>
      <c r="Y58" s="6"/>
      <c r="Z58" s="6"/>
    </row>
    <row r="59" spans="1:26" ht="14.4">
      <c r="A59" s="11">
        <v>37</v>
      </c>
      <c r="B59" s="37" t="s">
        <v>220</v>
      </c>
      <c r="C59" s="38">
        <v>400</v>
      </c>
      <c r="D59" s="38">
        <v>1</v>
      </c>
      <c r="E59" s="39">
        <v>400</v>
      </c>
      <c r="F59" s="45" t="s">
        <v>221</v>
      </c>
      <c r="G59" s="41"/>
      <c r="H59" s="6"/>
      <c r="I59" s="6"/>
      <c r="J59" s="6"/>
      <c r="K59" s="6"/>
      <c r="L59" s="6"/>
      <c r="M59" s="6"/>
      <c r="N59" s="6"/>
      <c r="O59" s="6"/>
      <c r="P59" s="6"/>
      <c r="Q59" s="6"/>
      <c r="R59" s="6"/>
      <c r="S59" s="6"/>
      <c r="T59" s="6"/>
      <c r="U59" s="6"/>
      <c r="V59" s="6"/>
      <c r="W59" s="6"/>
      <c r="X59" s="6"/>
      <c r="Y59" s="6"/>
      <c r="Z59" s="6"/>
    </row>
    <row r="60" spans="1:26" ht="13.8">
      <c r="A60" s="11">
        <v>38</v>
      </c>
      <c r="B60" s="37" t="s">
        <v>222</v>
      </c>
      <c r="C60" s="38">
        <v>700</v>
      </c>
      <c r="D60" s="38">
        <v>1</v>
      </c>
      <c r="E60" s="39">
        <v>700</v>
      </c>
      <c r="F60" s="40" t="s">
        <v>69</v>
      </c>
      <c r="G60" s="41"/>
      <c r="H60" s="6"/>
      <c r="I60" s="6"/>
      <c r="J60" s="6"/>
      <c r="K60" s="6"/>
      <c r="L60" s="6"/>
      <c r="M60" s="6"/>
      <c r="N60" s="6"/>
      <c r="O60" s="6"/>
      <c r="P60" s="6"/>
      <c r="Q60" s="6"/>
      <c r="R60" s="6"/>
      <c r="S60" s="6"/>
      <c r="T60" s="6"/>
      <c r="U60" s="6"/>
      <c r="V60" s="6"/>
      <c r="W60" s="6"/>
      <c r="X60" s="6"/>
      <c r="Y60" s="6"/>
      <c r="Z60" s="6"/>
    </row>
    <row r="61" spans="1:26" ht="13.8">
      <c r="A61" s="11">
        <v>39</v>
      </c>
      <c r="B61" s="37" t="s">
        <v>223</v>
      </c>
      <c r="C61" s="38">
        <v>100</v>
      </c>
      <c r="D61" s="38">
        <v>1</v>
      </c>
      <c r="E61" s="39">
        <v>100</v>
      </c>
      <c r="F61" s="40" t="s">
        <v>69</v>
      </c>
      <c r="G61" s="41"/>
      <c r="H61" s="6"/>
      <c r="I61" s="6"/>
      <c r="J61" s="6"/>
      <c r="K61" s="6"/>
      <c r="L61" s="6"/>
      <c r="M61" s="6"/>
      <c r="N61" s="6"/>
      <c r="O61" s="6"/>
      <c r="P61" s="6"/>
      <c r="Q61" s="6"/>
      <c r="R61" s="6"/>
      <c r="S61" s="6"/>
      <c r="T61" s="6"/>
      <c r="U61" s="6"/>
      <c r="V61" s="6"/>
      <c r="W61" s="6"/>
      <c r="X61" s="6"/>
      <c r="Y61" s="6"/>
      <c r="Z61" s="6"/>
    </row>
    <row r="62" spans="1:26" ht="14.4">
      <c r="A62" s="11">
        <v>40</v>
      </c>
      <c r="B62" s="37" t="s">
        <v>224</v>
      </c>
      <c r="C62" s="38">
        <v>150</v>
      </c>
      <c r="D62" s="38">
        <v>1</v>
      </c>
      <c r="E62" s="39">
        <v>150</v>
      </c>
      <c r="F62" s="45" t="s">
        <v>225</v>
      </c>
      <c r="G62" s="41"/>
      <c r="H62" s="6"/>
      <c r="I62" s="6"/>
      <c r="J62" s="6"/>
      <c r="K62" s="6"/>
      <c r="L62" s="6"/>
      <c r="M62" s="6"/>
      <c r="N62" s="6"/>
      <c r="O62" s="6"/>
      <c r="P62" s="6"/>
      <c r="Q62" s="6"/>
      <c r="R62" s="6"/>
      <c r="S62" s="6"/>
      <c r="T62" s="6"/>
      <c r="U62" s="6"/>
      <c r="V62" s="6"/>
      <c r="W62" s="6"/>
      <c r="X62" s="6"/>
      <c r="Y62" s="6"/>
      <c r="Z62" s="6"/>
    </row>
    <row r="63" spans="1:26" ht="13.8">
      <c r="A63" s="11">
        <v>41</v>
      </c>
      <c r="B63" s="37" t="s">
        <v>226</v>
      </c>
      <c r="C63" s="38">
        <v>1355</v>
      </c>
      <c r="D63" s="38">
        <v>1</v>
      </c>
      <c r="E63" s="39">
        <v>1355</v>
      </c>
      <c r="F63" s="40" t="s">
        <v>69</v>
      </c>
      <c r="G63" s="41"/>
      <c r="H63" s="6"/>
      <c r="I63" s="6"/>
      <c r="J63" s="6"/>
      <c r="K63" s="6"/>
      <c r="L63" s="6"/>
      <c r="M63" s="6"/>
      <c r="N63" s="6"/>
      <c r="O63" s="6"/>
      <c r="P63" s="6"/>
      <c r="Q63" s="6"/>
      <c r="R63" s="6"/>
      <c r="S63" s="6"/>
      <c r="T63" s="6"/>
      <c r="U63" s="6"/>
      <c r="V63" s="6"/>
      <c r="W63" s="6"/>
      <c r="X63" s="6"/>
      <c r="Y63" s="6"/>
      <c r="Z63" s="6"/>
    </row>
    <row r="64" spans="1:26" ht="13.8">
      <c r="A64" s="11">
        <v>42</v>
      </c>
      <c r="B64" s="37" t="s">
        <v>227</v>
      </c>
      <c r="C64" s="38">
        <v>180</v>
      </c>
      <c r="D64" s="38">
        <v>1</v>
      </c>
      <c r="E64" s="39">
        <v>180</v>
      </c>
      <c r="F64" s="40" t="s">
        <v>69</v>
      </c>
      <c r="G64" s="41"/>
      <c r="H64" s="6"/>
      <c r="I64" s="6"/>
      <c r="J64" s="6"/>
      <c r="K64" s="6"/>
      <c r="L64" s="6"/>
      <c r="M64" s="6"/>
      <c r="N64" s="6"/>
      <c r="O64" s="6"/>
      <c r="P64" s="6"/>
      <c r="Q64" s="6"/>
      <c r="R64" s="6"/>
      <c r="S64" s="6"/>
      <c r="T64" s="6"/>
      <c r="U64" s="6"/>
      <c r="V64" s="6"/>
      <c r="W64" s="6"/>
      <c r="X64" s="6"/>
      <c r="Y64" s="6"/>
      <c r="Z64" s="6"/>
    </row>
    <row r="65" spans="1:26" ht="13.8">
      <c r="A65" s="11">
        <v>43</v>
      </c>
      <c r="B65" s="37" t="s">
        <v>228</v>
      </c>
      <c r="C65" s="38">
        <v>250</v>
      </c>
      <c r="D65" s="38">
        <v>1</v>
      </c>
      <c r="E65" s="39">
        <v>250</v>
      </c>
      <c r="F65" s="40" t="s">
        <v>69</v>
      </c>
      <c r="G65" s="41"/>
      <c r="H65" s="6"/>
      <c r="I65" s="6"/>
      <c r="J65" s="6"/>
      <c r="K65" s="6"/>
      <c r="L65" s="6"/>
      <c r="M65" s="6"/>
      <c r="N65" s="6"/>
      <c r="O65" s="6"/>
      <c r="P65" s="6"/>
      <c r="Q65" s="6"/>
      <c r="R65" s="6"/>
      <c r="S65" s="6"/>
      <c r="T65" s="6"/>
      <c r="U65" s="6"/>
      <c r="V65" s="6"/>
      <c r="W65" s="6"/>
      <c r="X65" s="6"/>
      <c r="Y65" s="6"/>
      <c r="Z65" s="6"/>
    </row>
    <row r="66" spans="1:26" ht="13.8">
      <c r="A66" s="11">
        <v>44</v>
      </c>
      <c r="B66" s="37" t="s">
        <v>229</v>
      </c>
      <c r="C66" s="38">
        <v>29</v>
      </c>
      <c r="D66" s="38">
        <v>1</v>
      </c>
      <c r="E66" s="39">
        <v>29</v>
      </c>
      <c r="F66" s="40" t="s">
        <v>69</v>
      </c>
      <c r="G66" s="41"/>
      <c r="H66" s="6"/>
      <c r="I66" s="6"/>
      <c r="J66" s="6"/>
      <c r="K66" s="6"/>
      <c r="L66" s="6"/>
      <c r="M66" s="6"/>
      <c r="N66" s="6"/>
      <c r="O66" s="6"/>
      <c r="P66" s="6"/>
      <c r="Q66" s="6"/>
      <c r="R66" s="6"/>
      <c r="S66" s="6"/>
      <c r="T66" s="6"/>
      <c r="U66" s="6"/>
      <c r="V66" s="6"/>
      <c r="W66" s="6"/>
      <c r="X66" s="6"/>
      <c r="Y66" s="6"/>
      <c r="Z66" s="6"/>
    </row>
    <row r="67" spans="1:26" ht="14.4">
      <c r="A67" s="11">
        <v>45</v>
      </c>
      <c r="B67" s="37" t="s">
        <v>230</v>
      </c>
      <c r="C67" s="38">
        <v>150</v>
      </c>
      <c r="D67" s="38">
        <v>1</v>
      </c>
      <c r="E67" s="39">
        <v>150</v>
      </c>
      <c r="F67" s="45" t="s">
        <v>231</v>
      </c>
      <c r="G67" s="41"/>
      <c r="H67" s="6"/>
      <c r="I67" s="6"/>
      <c r="J67" s="6"/>
      <c r="K67" s="6"/>
      <c r="L67" s="6"/>
      <c r="M67" s="6"/>
      <c r="N67" s="6"/>
      <c r="O67" s="6"/>
      <c r="P67" s="6"/>
      <c r="Q67" s="6"/>
      <c r="R67" s="6"/>
      <c r="S67" s="6"/>
      <c r="T67" s="6"/>
      <c r="U67" s="6"/>
      <c r="V67" s="6"/>
      <c r="W67" s="6"/>
      <c r="X67" s="6"/>
      <c r="Y67" s="6"/>
      <c r="Z67" s="6"/>
    </row>
    <row r="68" spans="1:26" ht="14.4">
      <c r="A68" s="11">
        <v>46</v>
      </c>
      <c r="B68" s="37" t="s">
        <v>232</v>
      </c>
      <c r="C68" s="38">
        <v>250</v>
      </c>
      <c r="D68" s="38">
        <v>10</v>
      </c>
      <c r="E68" s="39">
        <v>250</v>
      </c>
      <c r="F68" s="45" t="s">
        <v>233</v>
      </c>
      <c r="G68" s="41"/>
      <c r="H68" s="6"/>
      <c r="I68" s="6"/>
      <c r="J68" s="6"/>
      <c r="K68" s="6"/>
      <c r="L68" s="6"/>
      <c r="M68" s="6"/>
      <c r="N68" s="6"/>
      <c r="O68" s="6"/>
      <c r="P68" s="6"/>
      <c r="Q68" s="6"/>
      <c r="R68" s="6"/>
      <c r="S68" s="6"/>
      <c r="T68" s="6"/>
      <c r="U68" s="6"/>
      <c r="V68" s="6"/>
      <c r="W68" s="6"/>
      <c r="X68" s="6"/>
      <c r="Y68" s="6"/>
      <c r="Z68" s="6"/>
    </row>
    <row r="69" spans="1:26" ht="14.4">
      <c r="A69" s="11">
        <v>47</v>
      </c>
      <c r="B69" s="37" t="s">
        <v>234</v>
      </c>
      <c r="C69" s="38">
        <v>250</v>
      </c>
      <c r="D69" s="38">
        <v>1</v>
      </c>
      <c r="E69" s="39">
        <v>250</v>
      </c>
      <c r="F69" s="45" t="s">
        <v>235</v>
      </c>
      <c r="G69" s="41"/>
      <c r="H69" s="6"/>
      <c r="I69" s="6"/>
      <c r="J69" s="6"/>
      <c r="K69" s="6"/>
      <c r="L69" s="6"/>
      <c r="M69" s="6"/>
      <c r="N69" s="6"/>
      <c r="O69" s="6"/>
      <c r="P69" s="6"/>
      <c r="Q69" s="6"/>
      <c r="R69" s="6"/>
      <c r="S69" s="6"/>
      <c r="T69" s="6"/>
      <c r="U69" s="6"/>
      <c r="V69" s="6"/>
      <c r="W69" s="6"/>
      <c r="X69" s="6"/>
      <c r="Y69" s="6"/>
      <c r="Z69" s="6"/>
    </row>
    <row r="70" spans="1:26" ht="13.8">
      <c r="A70" s="11">
        <v>48</v>
      </c>
      <c r="B70" s="37" t="s">
        <v>236</v>
      </c>
      <c r="C70" s="38">
        <v>300</v>
      </c>
      <c r="D70" s="38">
        <v>1</v>
      </c>
      <c r="E70" s="39">
        <v>300</v>
      </c>
      <c r="F70" s="40" t="s">
        <v>69</v>
      </c>
      <c r="G70" s="41"/>
      <c r="H70" s="6"/>
      <c r="I70" s="6"/>
      <c r="J70" s="6"/>
      <c r="K70" s="6"/>
      <c r="L70" s="6"/>
      <c r="M70" s="6"/>
      <c r="N70" s="6"/>
      <c r="O70" s="6"/>
      <c r="P70" s="6"/>
      <c r="Q70" s="6"/>
      <c r="R70" s="6"/>
      <c r="S70" s="6"/>
      <c r="T70" s="6"/>
      <c r="U70" s="6"/>
      <c r="V70" s="6"/>
      <c r="W70" s="6"/>
      <c r="X70" s="6"/>
      <c r="Y70" s="6"/>
      <c r="Z70" s="6"/>
    </row>
    <row r="71" spans="1:26" ht="13.8">
      <c r="A71" s="11">
        <v>49</v>
      </c>
      <c r="B71" s="37" t="s">
        <v>237</v>
      </c>
      <c r="C71" s="38">
        <v>350</v>
      </c>
      <c r="D71" s="38">
        <v>1</v>
      </c>
      <c r="E71" s="39">
        <v>350</v>
      </c>
      <c r="F71" s="40" t="s">
        <v>69</v>
      </c>
      <c r="G71" s="41"/>
      <c r="H71" s="6"/>
      <c r="I71" s="6"/>
      <c r="J71" s="6"/>
      <c r="K71" s="6"/>
      <c r="L71" s="6"/>
      <c r="M71" s="6"/>
      <c r="N71" s="6"/>
      <c r="O71" s="6"/>
      <c r="P71" s="6"/>
      <c r="Q71" s="6"/>
      <c r="R71" s="6"/>
      <c r="S71" s="6"/>
      <c r="T71" s="6"/>
      <c r="U71" s="6"/>
      <c r="V71" s="6"/>
      <c r="W71" s="6"/>
      <c r="X71" s="6"/>
      <c r="Y71" s="6"/>
      <c r="Z71" s="6"/>
    </row>
    <row r="72" spans="1:26" ht="14.4">
      <c r="A72" s="11">
        <v>50</v>
      </c>
      <c r="B72" s="37" t="s">
        <v>238</v>
      </c>
      <c r="C72" s="38">
        <v>200</v>
      </c>
      <c r="D72" s="38">
        <v>1</v>
      </c>
      <c r="E72" s="39">
        <v>200</v>
      </c>
      <c r="F72" s="45" t="s">
        <v>239</v>
      </c>
      <c r="G72" s="41"/>
      <c r="H72" s="6"/>
      <c r="I72" s="6"/>
      <c r="J72" s="6"/>
      <c r="K72" s="6"/>
      <c r="L72" s="6"/>
      <c r="M72" s="6"/>
      <c r="N72" s="6"/>
      <c r="O72" s="6"/>
      <c r="P72" s="6"/>
      <c r="Q72" s="6"/>
      <c r="R72" s="6"/>
      <c r="S72" s="6"/>
      <c r="T72" s="6"/>
      <c r="U72" s="6"/>
      <c r="V72" s="6"/>
      <c r="W72" s="6"/>
      <c r="X72" s="6"/>
      <c r="Y72" s="6"/>
      <c r="Z72" s="6"/>
    </row>
    <row r="73" spans="1:26" ht="13.8">
      <c r="A73" s="11">
        <v>51</v>
      </c>
      <c r="B73" s="37" t="s">
        <v>240</v>
      </c>
      <c r="C73" s="38">
        <v>40</v>
      </c>
      <c r="D73" s="38">
        <v>1</v>
      </c>
      <c r="E73" s="39">
        <v>40</v>
      </c>
      <c r="F73" s="40" t="s">
        <v>69</v>
      </c>
      <c r="G73" s="41"/>
      <c r="H73" s="6"/>
      <c r="I73" s="6"/>
      <c r="J73" s="6"/>
      <c r="K73" s="6"/>
      <c r="L73" s="6"/>
      <c r="M73" s="6"/>
      <c r="N73" s="6"/>
      <c r="O73" s="6"/>
      <c r="P73" s="6"/>
      <c r="Q73" s="6"/>
      <c r="R73" s="6"/>
      <c r="S73" s="6"/>
      <c r="T73" s="6"/>
      <c r="U73" s="6"/>
      <c r="V73" s="6"/>
      <c r="W73" s="6"/>
      <c r="X73" s="6"/>
      <c r="Y73" s="6"/>
      <c r="Z73" s="6"/>
    </row>
    <row r="74" spans="1:26" ht="14.4">
      <c r="A74" s="11">
        <v>52</v>
      </c>
      <c r="B74" s="37" t="s">
        <v>241</v>
      </c>
      <c r="C74" s="38">
        <v>150</v>
      </c>
      <c r="D74" s="38">
        <v>1</v>
      </c>
      <c r="E74" s="39">
        <v>150</v>
      </c>
      <c r="F74" s="45" t="s">
        <v>242</v>
      </c>
      <c r="G74" s="41"/>
      <c r="H74" s="6"/>
      <c r="I74" s="6"/>
      <c r="J74" s="6"/>
      <c r="K74" s="6"/>
      <c r="L74" s="6"/>
      <c r="M74" s="6"/>
      <c r="N74" s="6"/>
      <c r="O74" s="6"/>
      <c r="P74" s="6"/>
      <c r="Q74" s="6"/>
      <c r="R74" s="6"/>
      <c r="S74" s="6"/>
      <c r="T74" s="6"/>
      <c r="U74" s="6"/>
      <c r="V74" s="6"/>
      <c r="W74" s="6"/>
      <c r="X74" s="6"/>
      <c r="Y74" s="6"/>
      <c r="Z74" s="6"/>
    </row>
    <row r="75" spans="1:26" ht="13.8">
      <c r="A75" s="11">
        <v>53</v>
      </c>
      <c r="B75" s="37" t="s">
        <v>243</v>
      </c>
      <c r="C75" s="38">
        <v>100</v>
      </c>
      <c r="D75" s="38">
        <v>1</v>
      </c>
      <c r="E75" s="39">
        <v>100</v>
      </c>
      <c r="F75" s="40" t="s">
        <v>69</v>
      </c>
      <c r="G75" s="41"/>
      <c r="H75" s="6"/>
      <c r="I75" s="6"/>
      <c r="J75" s="6"/>
      <c r="K75" s="6"/>
      <c r="L75" s="6"/>
      <c r="M75" s="6"/>
      <c r="N75" s="6"/>
      <c r="O75" s="6"/>
      <c r="P75" s="6"/>
      <c r="Q75" s="6"/>
      <c r="R75" s="6"/>
      <c r="S75" s="6"/>
      <c r="T75" s="6"/>
      <c r="U75" s="6"/>
      <c r="V75" s="6"/>
      <c r="W75" s="6"/>
      <c r="X75" s="6"/>
      <c r="Y75" s="6"/>
      <c r="Z75" s="6"/>
    </row>
    <row r="76" spans="1:26" ht="13.2">
      <c r="A76" s="6"/>
      <c r="B76" s="6"/>
      <c r="C76" s="6"/>
      <c r="D76" s="46" t="s">
        <v>5</v>
      </c>
      <c r="E76" s="47">
        <f>SUM(E22:E75)</f>
        <v>130304</v>
      </c>
      <c r="F76" s="6"/>
      <c r="G76" s="6"/>
      <c r="H76" s="6"/>
      <c r="I76" s="6"/>
      <c r="J76" s="6"/>
      <c r="K76" s="6"/>
      <c r="L76" s="6"/>
      <c r="M76" s="6"/>
      <c r="N76" s="6"/>
      <c r="O76" s="6"/>
      <c r="P76" s="6"/>
      <c r="Q76" s="6"/>
      <c r="R76" s="6"/>
      <c r="S76" s="6"/>
      <c r="T76" s="6"/>
      <c r="U76" s="6"/>
      <c r="V76" s="6"/>
      <c r="W76" s="6"/>
      <c r="X76" s="6"/>
      <c r="Y76" s="6"/>
      <c r="Z76" s="6"/>
    </row>
    <row r="77" spans="1:26" ht="13.2">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35.25" customHeight="1">
      <c r="A78" s="231" t="s">
        <v>110</v>
      </c>
      <c r="B78" s="226"/>
      <c r="C78" s="226"/>
      <c r="D78" s="226"/>
      <c r="E78" s="226"/>
      <c r="F78" s="226"/>
      <c r="G78" s="227"/>
      <c r="H78" s="6"/>
      <c r="I78" s="6"/>
      <c r="J78" s="6"/>
      <c r="K78" s="6"/>
      <c r="L78" s="6"/>
      <c r="M78" s="6"/>
      <c r="N78" s="6"/>
      <c r="O78" s="6"/>
      <c r="P78" s="6"/>
      <c r="Q78" s="6"/>
      <c r="R78" s="6"/>
      <c r="S78" s="6"/>
      <c r="T78" s="6"/>
      <c r="U78" s="6"/>
      <c r="V78" s="6"/>
      <c r="W78" s="6"/>
      <c r="X78" s="6"/>
      <c r="Y78" s="6"/>
      <c r="Z78" s="6"/>
    </row>
    <row r="79" spans="1:26" ht="13.2">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2">
      <c r="A80" s="7" t="s">
        <v>244</v>
      </c>
      <c r="B80" s="6"/>
      <c r="C80" s="6"/>
      <c r="D80" s="6"/>
      <c r="E80" s="6"/>
      <c r="F80" s="6"/>
      <c r="G80" s="6"/>
      <c r="H80" s="6"/>
      <c r="I80" s="6"/>
      <c r="J80" s="6"/>
      <c r="K80" s="6"/>
      <c r="L80" s="6"/>
      <c r="M80" s="6"/>
      <c r="N80" s="6"/>
      <c r="O80" s="6"/>
      <c r="P80" s="6"/>
      <c r="Q80" s="6"/>
      <c r="R80" s="6"/>
      <c r="S80" s="6"/>
      <c r="T80" s="6"/>
      <c r="U80" s="6"/>
      <c r="V80" s="6"/>
      <c r="W80" s="6"/>
      <c r="X80" s="6"/>
      <c r="Y80" s="6"/>
      <c r="Z80" s="6"/>
    </row>
    <row r="81" spans="1:26" ht="13.2">
      <c r="A81" s="7" t="s">
        <v>245</v>
      </c>
      <c r="B81" s="6"/>
      <c r="C81" s="6"/>
      <c r="D81" s="6"/>
      <c r="E81" s="6"/>
      <c r="F81" s="6"/>
      <c r="G81" s="6"/>
      <c r="H81" s="6"/>
      <c r="I81" s="6"/>
      <c r="J81" s="6"/>
      <c r="K81" s="6"/>
      <c r="L81" s="6"/>
      <c r="M81" s="6"/>
      <c r="N81" s="6"/>
      <c r="O81" s="6"/>
      <c r="P81" s="6"/>
      <c r="Q81" s="6"/>
      <c r="R81" s="6"/>
      <c r="S81" s="6"/>
      <c r="T81" s="6"/>
      <c r="U81" s="6"/>
      <c r="V81" s="6"/>
      <c r="W81" s="6"/>
      <c r="X81" s="6"/>
      <c r="Y81" s="6"/>
      <c r="Z81" s="6"/>
    </row>
    <row r="82" spans="1:26" ht="13.2">
      <c r="A82" s="7" t="s">
        <v>246</v>
      </c>
      <c r="B82" s="6"/>
      <c r="C82" s="6"/>
      <c r="D82" s="6"/>
      <c r="E82" s="6"/>
      <c r="F82" s="6"/>
      <c r="G82" s="6"/>
      <c r="H82" s="6"/>
      <c r="I82" s="6"/>
      <c r="J82" s="6"/>
      <c r="K82" s="6"/>
      <c r="L82" s="6"/>
      <c r="M82" s="6"/>
      <c r="N82" s="6"/>
      <c r="O82" s="6"/>
      <c r="P82" s="6"/>
      <c r="Q82" s="6"/>
      <c r="R82" s="6"/>
      <c r="S82" s="6"/>
      <c r="T82" s="6"/>
      <c r="U82" s="6"/>
      <c r="V82" s="6"/>
      <c r="W82" s="6"/>
      <c r="X82" s="6"/>
      <c r="Y82" s="6"/>
      <c r="Z82" s="6"/>
    </row>
    <row r="83" spans="1:26" ht="26.4">
      <c r="A83" s="14" t="s">
        <v>44</v>
      </c>
      <c r="B83" s="14" t="s">
        <v>46</v>
      </c>
      <c r="C83" s="14" t="s">
        <v>47</v>
      </c>
      <c r="D83" s="14" t="s">
        <v>48</v>
      </c>
      <c r="E83" s="14" t="s">
        <v>9</v>
      </c>
      <c r="F83" s="14" t="s">
        <v>247</v>
      </c>
      <c r="G83" s="3" t="s">
        <v>54</v>
      </c>
      <c r="H83" s="6"/>
      <c r="I83" s="6"/>
      <c r="J83" s="6"/>
      <c r="K83" s="6"/>
      <c r="L83" s="6"/>
      <c r="M83" s="6"/>
      <c r="N83" s="6"/>
      <c r="O83" s="6"/>
      <c r="P83" s="6"/>
      <c r="Q83" s="6"/>
      <c r="R83" s="6"/>
      <c r="S83" s="6"/>
      <c r="T83" s="6"/>
      <c r="U83" s="6"/>
      <c r="V83" s="6"/>
      <c r="W83" s="6"/>
      <c r="X83" s="6"/>
      <c r="Y83" s="6"/>
      <c r="Z83" s="6"/>
    </row>
    <row r="84" spans="1:26" ht="13.2">
      <c r="A84" s="7">
        <v>1</v>
      </c>
      <c r="B84" s="48" t="s">
        <v>248</v>
      </c>
      <c r="C84" s="7"/>
      <c r="D84" s="7"/>
      <c r="E84" s="17">
        <v>4000</v>
      </c>
      <c r="F84" s="7"/>
      <c r="G84" s="7" t="s">
        <v>249</v>
      </c>
      <c r="H84" s="6"/>
      <c r="I84" s="6"/>
      <c r="J84" s="6"/>
      <c r="K84" s="6"/>
      <c r="L84" s="6"/>
      <c r="M84" s="6"/>
      <c r="N84" s="6"/>
      <c r="O84" s="6"/>
      <c r="P84" s="6"/>
      <c r="Q84" s="6"/>
      <c r="R84" s="6"/>
      <c r="S84" s="6"/>
      <c r="T84" s="6"/>
      <c r="U84" s="6"/>
      <c r="V84" s="6"/>
      <c r="W84" s="6"/>
      <c r="X84" s="6"/>
      <c r="Y84" s="6"/>
      <c r="Z84" s="6"/>
    </row>
    <row r="85" spans="1:26" ht="13.2">
      <c r="A85" s="7">
        <v>2</v>
      </c>
      <c r="B85" s="48" t="s">
        <v>250</v>
      </c>
      <c r="C85" s="7"/>
      <c r="D85" s="7"/>
      <c r="E85" s="17">
        <v>15000</v>
      </c>
      <c r="F85" s="48"/>
      <c r="G85" s="7" t="s">
        <v>251</v>
      </c>
      <c r="H85" s="6"/>
      <c r="I85" s="6"/>
      <c r="J85" s="6"/>
      <c r="K85" s="6"/>
      <c r="L85" s="6"/>
      <c r="M85" s="6"/>
      <c r="N85" s="6"/>
      <c r="O85" s="6"/>
      <c r="P85" s="6"/>
      <c r="Q85" s="6"/>
      <c r="R85" s="6"/>
      <c r="S85" s="6"/>
      <c r="T85" s="6"/>
      <c r="U85" s="6"/>
      <c r="V85" s="6"/>
      <c r="W85" s="6"/>
      <c r="X85" s="6"/>
      <c r="Y85" s="6"/>
      <c r="Z85" s="6"/>
    </row>
    <row r="86" spans="1:26" ht="13.2">
      <c r="A86" s="6"/>
      <c r="B86" s="6"/>
      <c r="C86" s="6"/>
      <c r="D86" s="46" t="s">
        <v>5</v>
      </c>
      <c r="E86" s="47">
        <f>SUM(E84:E85)</f>
        <v>19000</v>
      </c>
      <c r="F86" s="6"/>
      <c r="G86" s="6"/>
      <c r="H86" s="6"/>
      <c r="I86" s="6"/>
      <c r="J86" s="6"/>
      <c r="K86" s="6"/>
      <c r="L86" s="6"/>
      <c r="M86" s="6"/>
      <c r="N86" s="6"/>
      <c r="O86" s="6"/>
      <c r="P86" s="6"/>
      <c r="Q86" s="6"/>
      <c r="R86" s="6"/>
      <c r="S86" s="6"/>
      <c r="T86" s="6"/>
      <c r="U86" s="6"/>
      <c r="V86" s="6"/>
      <c r="W86" s="6"/>
      <c r="X86" s="6"/>
      <c r="Y86" s="6"/>
      <c r="Z86" s="6"/>
    </row>
    <row r="87" spans="1:26" ht="13.2">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2">
      <c r="A88" s="7" t="s">
        <v>252</v>
      </c>
      <c r="B88" s="6"/>
      <c r="C88" s="6"/>
      <c r="D88" s="6"/>
      <c r="E88" s="6"/>
      <c r="F88" s="6"/>
      <c r="G88" s="6"/>
      <c r="H88" s="6"/>
      <c r="I88" s="6"/>
      <c r="J88" s="6"/>
      <c r="K88" s="6"/>
      <c r="L88" s="6"/>
      <c r="M88" s="6"/>
      <c r="N88" s="6"/>
      <c r="O88" s="6"/>
      <c r="P88" s="6"/>
      <c r="Q88" s="6"/>
      <c r="R88" s="6"/>
      <c r="S88" s="6"/>
      <c r="T88" s="6"/>
      <c r="U88" s="6"/>
      <c r="V88" s="6"/>
      <c r="W88" s="6"/>
      <c r="X88" s="6"/>
      <c r="Y88" s="6"/>
      <c r="Z88" s="6"/>
    </row>
    <row r="89" spans="1:26" ht="13.2">
      <c r="A89" s="7" t="s">
        <v>253</v>
      </c>
      <c r="B89" s="6"/>
      <c r="C89" s="6"/>
      <c r="D89" s="6"/>
      <c r="E89" s="6"/>
      <c r="F89" s="6"/>
      <c r="G89" s="6"/>
      <c r="H89" s="6"/>
      <c r="I89" s="6"/>
      <c r="J89" s="6"/>
      <c r="K89" s="6"/>
      <c r="L89" s="6"/>
      <c r="M89" s="6"/>
      <c r="N89" s="6"/>
      <c r="O89" s="6"/>
      <c r="P89" s="6"/>
      <c r="Q89" s="6"/>
      <c r="R89" s="6"/>
      <c r="S89" s="6"/>
      <c r="T89" s="6"/>
      <c r="U89" s="6"/>
      <c r="V89" s="6"/>
      <c r="W89" s="6"/>
      <c r="X89" s="6"/>
      <c r="Y89" s="6"/>
      <c r="Z89" s="6"/>
    </row>
    <row r="90" spans="1:26" ht="13.2">
      <c r="A90" s="7" t="s">
        <v>246</v>
      </c>
      <c r="B90" s="6"/>
      <c r="C90" s="6"/>
      <c r="D90" s="6"/>
      <c r="E90" s="6"/>
      <c r="F90" s="6"/>
      <c r="G90" s="6"/>
      <c r="H90" s="6"/>
      <c r="I90" s="6"/>
      <c r="J90" s="6"/>
      <c r="K90" s="6"/>
      <c r="L90" s="6"/>
      <c r="M90" s="6"/>
      <c r="N90" s="6"/>
      <c r="O90" s="6"/>
      <c r="P90" s="6"/>
      <c r="Q90" s="6"/>
      <c r="R90" s="6"/>
      <c r="S90" s="6"/>
      <c r="T90" s="6"/>
      <c r="U90" s="6"/>
      <c r="V90" s="6"/>
      <c r="W90" s="6"/>
      <c r="X90" s="6"/>
      <c r="Y90" s="6"/>
      <c r="Z90" s="6"/>
    </row>
    <row r="91" spans="1:26" ht="26.4">
      <c r="A91" s="14" t="s">
        <v>44</v>
      </c>
      <c r="B91" s="14" t="s">
        <v>46</v>
      </c>
      <c r="C91" s="14" t="s">
        <v>47</v>
      </c>
      <c r="D91" s="14" t="s">
        <v>48</v>
      </c>
      <c r="E91" s="14" t="s">
        <v>9</v>
      </c>
      <c r="F91" s="14" t="s">
        <v>247</v>
      </c>
      <c r="G91" s="3" t="s">
        <v>54</v>
      </c>
      <c r="H91" s="6"/>
      <c r="I91" s="6"/>
      <c r="J91" s="6"/>
      <c r="K91" s="6"/>
      <c r="L91" s="6"/>
      <c r="M91" s="6"/>
      <c r="N91" s="6"/>
      <c r="O91" s="6"/>
      <c r="P91" s="6"/>
      <c r="Q91" s="6"/>
      <c r="R91" s="6"/>
      <c r="S91" s="6"/>
      <c r="T91" s="6"/>
      <c r="U91" s="6"/>
      <c r="V91" s="6"/>
      <c r="W91" s="6"/>
      <c r="X91" s="6"/>
      <c r="Y91" s="6"/>
      <c r="Z91" s="6"/>
    </row>
    <row r="92" spans="1:26" ht="13.2">
      <c r="A92" s="7">
        <v>1</v>
      </c>
      <c r="B92" s="48" t="s">
        <v>248</v>
      </c>
      <c r="C92" s="7"/>
      <c r="D92" s="7"/>
      <c r="E92" s="17">
        <v>4000</v>
      </c>
      <c r="F92" s="7"/>
      <c r="G92" s="7" t="s">
        <v>249</v>
      </c>
      <c r="H92" s="6"/>
      <c r="I92" s="6"/>
      <c r="J92" s="6"/>
      <c r="K92" s="6"/>
      <c r="L92" s="6"/>
      <c r="M92" s="6"/>
      <c r="N92" s="6"/>
      <c r="O92" s="6"/>
      <c r="P92" s="6"/>
      <c r="Q92" s="6"/>
      <c r="R92" s="6"/>
      <c r="S92" s="6"/>
      <c r="T92" s="6"/>
      <c r="U92" s="6"/>
      <c r="V92" s="6"/>
      <c r="W92" s="6"/>
      <c r="X92" s="6"/>
      <c r="Y92" s="6"/>
      <c r="Z92" s="6"/>
    </row>
    <row r="93" spans="1:26" ht="39.6">
      <c r="A93" s="7">
        <v>2</v>
      </c>
      <c r="B93" s="48" t="s">
        <v>250</v>
      </c>
      <c r="C93" s="7"/>
      <c r="D93" s="7"/>
      <c r="E93" s="17">
        <v>15000</v>
      </c>
      <c r="F93" s="48" t="s">
        <v>139</v>
      </c>
      <c r="G93" s="7"/>
      <c r="H93" s="6"/>
      <c r="I93" s="6"/>
      <c r="J93" s="6"/>
      <c r="K93" s="6"/>
      <c r="L93" s="6"/>
      <c r="M93" s="6"/>
      <c r="N93" s="6"/>
      <c r="O93" s="6"/>
      <c r="P93" s="6"/>
      <c r="Q93" s="6"/>
      <c r="R93" s="6"/>
      <c r="S93" s="6"/>
      <c r="T93" s="6"/>
      <c r="U93" s="6"/>
      <c r="V93" s="6"/>
      <c r="W93" s="6"/>
      <c r="X93" s="6"/>
      <c r="Y93" s="6"/>
      <c r="Z93" s="6"/>
    </row>
    <row r="94" spans="1:26" ht="13.2">
      <c r="A94" s="6"/>
      <c r="B94" s="6"/>
      <c r="C94" s="6"/>
      <c r="D94" s="46" t="s">
        <v>5</v>
      </c>
      <c r="E94" s="47">
        <f>SUM(E92:E93)</f>
        <v>19000</v>
      </c>
      <c r="F94" s="6"/>
      <c r="G94" s="6"/>
      <c r="H94" s="6"/>
      <c r="I94" s="6"/>
      <c r="J94" s="6"/>
      <c r="K94" s="6"/>
      <c r="L94" s="6"/>
      <c r="M94" s="6"/>
      <c r="N94" s="6"/>
      <c r="O94" s="6"/>
      <c r="P94" s="6"/>
      <c r="Q94" s="6"/>
      <c r="R94" s="6"/>
      <c r="S94" s="6"/>
      <c r="T94" s="6"/>
      <c r="U94" s="6"/>
      <c r="V94" s="6"/>
      <c r="W94" s="6"/>
      <c r="X94" s="6"/>
      <c r="Y94" s="6"/>
      <c r="Z94" s="6"/>
    </row>
    <row r="95" spans="1:26" ht="13.2">
      <c r="A95" s="13"/>
      <c r="B95" s="6"/>
      <c r="C95" s="6"/>
      <c r="D95" s="6"/>
      <c r="E95" s="6"/>
      <c r="F95" s="6"/>
      <c r="G95" s="6"/>
      <c r="H95" s="6"/>
      <c r="I95" s="6"/>
      <c r="J95" s="6"/>
      <c r="K95" s="6"/>
      <c r="L95" s="6"/>
      <c r="M95" s="6"/>
      <c r="N95" s="6"/>
      <c r="O95" s="6"/>
      <c r="P95" s="6"/>
      <c r="Q95" s="6"/>
      <c r="R95" s="6"/>
      <c r="S95" s="6"/>
      <c r="T95" s="6"/>
      <c r="U95" s="6"/>
      <c r="V95" s="6"/>
      <c r="W95" s="6"/>
      <c r="X95" s="6"/>
      <c r="Y95" s="6"/>
      <c r="Z95" s="6"/>
    </row>
    <row r="96" spans="1:26" ht="13.2">
      <c r="A96" s="231" t="s">
        <v>254</v>
      </c>
      <c r="B96" s="226"/>
      <c r="C96" s="226"/>
      <c r="D96" s="227"/>
      <c r="E96" s="49"/>
      <c r="F96" s="49"/>
      <c r="G96" s="49"/>
      <c r="H96" s="6"/>
      <c r="I96" s="6"/>
      <c r="J96" s="6"/>
      <c r="K96" s="6"/>
      <c r="L96" s="6"/>
      <c r="M96" s="6"/>
      <c r="N96" s="6"/>
      <c r="O96" s="6"/>
      <c r="P96" s="6"/>
      <c r="Q96" s="6"/>
      <c r="R96" s="6"/>
      <c r="S96" s="6"/>
      <c r="T96" s="6"/>
      <c r="U96" s="6"/>
      <c r="V96" s="6"/>
      <c r="W96" s="6"/>
      <c r="X96" s="6"/>
      <c r="Y96" s="6"/>
      <c r="Z96" s="6"/>
    </row>
    <row r="97" spans="1:26" ht="13.8">
      <c r="A97" s="50" t="s">
        <v>255</v>
      </c>
      <c r="B97" s="50" t="s">
        <v>256</v>
      </c>
      <c r="C97" s="51" t="s">
        <v>257</v>
      </c>
      <c r="D97" s="3" t="s">
        <v>54</v>
      </c>
      <c r="E97" s="6"/>
      <c r="F97" s="6"/>
      <c r="G97" s="6"/>
      <c r="H97" s="6"/>
      <c r="I97" s="6"/>
      <c r="J97" s="6"/>
      <c r="K97" s="6"/>
      <c r="L97" s="6"/>
      <c r="M97" s="6"/>
      <c r="N97" s="6"/>
      <c r="O97" s="6"/>
      <c r="P97" s="6"/>
      <c r="Q97" s="6"/>
      <c r="R97" s="6"/>
      <c r="S97" s="6"/>
      <c r="T97" s="6"/>
      <c r="U97" s="6"/>
      <c r="V97" s="6"/>
      <c r="W97" s="6"/>
      <c r="X97" s="6"/>
      <c r="Y97" s="6"/>
      <c r="Z97" s="6"/>
    </row>
    <row r="98" spans="1:26" ht="13.2">
      <c r="A98" s="7" t="s">
        <v>258</v>
      </c>
      <c r="B98" s="19" t="s">
        <v>69</v>
      </c>
      <c r="C98" s="17">
        <v>25000</v>
      </c>
      <c r="D98" s="7" t="s">
        <v>259</v>
      </c>
      <c r="E98" s="6"/>
      <c r="F98" s="6"/>
      <c r="G98" s="6"/>
      <c r="H98" s="6"/>
      <c r="I98" s="6"/>
      <c r="J98" s="6"/>
      <c r="K98" s="6"/>
      <c r="L98" s="6"/>
      <c r="M98" s="6"/>
      <c r="N98" s="6"/>
      <c r="O98" s="6"/>
      <c r="P98" s="6"/>
      <c r="Q98" s="6"/>
      <c r="R98" s="6"/>
      <c r="S98" s="6"/>
      <c r="T98" s="6"/>
      <c r="U98" s="6"/>
      <c r="V98" s="6"/>
      <c r="W98" s="6"/>
      <c r="X98" s="6"/>
      <c r="Y98" s="6"/>
      <c r="Z98" s="6"/>
    </row>
    <row r="99" spans="1:26" ht="13.2">
      <c r="A99" s="6"/>
      <c r="B99" s="46" t="s">
        <v>5</v>
      </c>
      <c r="C99" s="23">
        <f>SUM(C98)</f>
        <v>25000</v>
      </c>
      <c r="D99" s="6"/>
      <c r="E99" s="6"/>
      <c r="F99" s="6"/>
      <c r="G99" s="6"/>
      <c r="H99" s="6"/>
      <c r="I99" s="6"/>
      <c r="J99" s="6"/>
      <c r="K99" s="6"/>
      <c r="L99" s="6"/>
      <c r="M99" s="6"/>
      <c r="N99" s="6"/>
      <c r="O99" s="6"/>
      <c r="P99" s="6"/>
      <c r="Q99" s="6"/>
      <c r="R99" s="6"/>
      <c r="S99" s="6"/>
      <c r="T99" s="6"/>
      <c r="U99" s="6"/>
      <c r="V99" s="6"/>
      <c r="W99" s="6"/>
      <c r="X99" s="6"/>
      <c r="Y99" s="6"/>
      <c r="Z99" s="6"/>
    </row>
    <row r="100" spans="1:26" ht="13.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2">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2">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2">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2">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2">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2">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2">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2">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2">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2">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2">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2">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2">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2">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2">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2">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2">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2">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2">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2">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2">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2">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2">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2">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2">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2">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2">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2">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2">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2">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2">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2">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2">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2">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2">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2">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2">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2">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2">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2">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2">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2">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2">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2">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2">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2">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2">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2">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2">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2">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2">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2">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2">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2">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2">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2">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2">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2">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2">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2">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2">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2">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2">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2">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2">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2">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2">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2">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2">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2">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2">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2">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2">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2">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2">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2">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2">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2">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2">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2">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2">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2">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2">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2">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2">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2">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2">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2">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2">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2">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2">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2">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2">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2">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2">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2">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2">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2">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2">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2">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2">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2">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2">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2">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2">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2">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2">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2">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2">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2">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2">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2">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2">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2">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2">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2">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2">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2">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2">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2">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2">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2">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2">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2">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2">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2">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2">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2">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2">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2">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2">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2">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2">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2">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2">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2">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2">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2">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2">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2">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2">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2">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2">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2">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2">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2">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2">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2">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2">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2">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2">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2">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2">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2">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2">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2">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2">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2">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2">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2">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2">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2">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2">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2">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2">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2">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2">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2">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2">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2">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2">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2">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2">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2">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2">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2">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2">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2">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2">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2">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2">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2">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2">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2">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2">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2">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2">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2">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2">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2">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2">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2">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2">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2">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2">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2">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2">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2">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2">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2">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2">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2">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2">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2">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2">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2">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2">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2">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2">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2">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2">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2">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2">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2">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2">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2">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2">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2">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2">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2">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2">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2">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2">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2">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2">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2">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2">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2">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2">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2">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2">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2">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2">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2">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2">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2">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2">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2">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2">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2">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2">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2">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2">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2">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2">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2">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2">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2">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2">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2">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2">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2">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2">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2">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2">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2">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2">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2">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2">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2">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2">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2">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2">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2">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2">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2">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2">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2">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2">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2">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2">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2">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2">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2">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2">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2">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2">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2">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2">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2">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2">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2">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2">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2">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2">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2">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2">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2">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2">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2">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2">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2">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2">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2">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2">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2">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2">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2">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2">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2">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2">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2">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2">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2">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2">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2">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2">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2">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2">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2">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2">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2">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2">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2">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2">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2">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2">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2">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2">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2">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2">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2">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2">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2">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2">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2">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2">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2">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2">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2">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2">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2">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2">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2">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2">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2">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2">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2">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2">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2">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2">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2">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2">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2">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2">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2">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2">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2">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2">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2">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2">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2">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2">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2">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2">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2">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2">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2">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2">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2">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2">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2">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2">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2">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2">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2">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2">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2">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2">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2">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2">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2">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2">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2">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2">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2">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2">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2">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2">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2">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2">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2">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2">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2">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2">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2">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2">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2">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2">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2">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2">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2">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2">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2">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2">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2">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2">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2">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2">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2">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2">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2">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2">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2">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2">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2">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2">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2">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2">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2">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2">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2">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2">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2">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2">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2">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2">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2">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2">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2">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2">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2">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2">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2">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2">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2">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2">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2">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2">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2">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2">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2">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2">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2">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2">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2">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2">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2">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2">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2">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2">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2">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2">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2">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2">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2">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2">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2">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2">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2">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2">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2">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2">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2">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2">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2">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2">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2">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2">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2">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2">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2">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2">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2">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2">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2">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2">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2">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2">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2">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2">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2">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2">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2">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2">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2">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2">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2">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2">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2">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2">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2">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2">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2">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2">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2">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2">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2">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2">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2">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2">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2">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2">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2">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2">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2">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2">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2">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2">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2">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2">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2">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2">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2">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2">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2">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2">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2">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2">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2">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2">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2">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2">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2">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2">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2">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2">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2">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2">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2">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2">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2">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2">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2">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2">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2">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2">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2">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2">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2">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2">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2">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2">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2">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2">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2">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2">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2">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2">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2">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2">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2">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2">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2">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2">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2">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2">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2">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2">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2">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2">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2">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2">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2">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2">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2">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2">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2">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2">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2">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2">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2">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2">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2">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2">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2">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2">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2">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2">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2">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2">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2">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2">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2">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2">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2">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2">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2">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2">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2">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2">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2">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2">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2">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2">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2">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2">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2">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2">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2">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2">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2">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2">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2">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2">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2">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2">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2">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2">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2">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2">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2">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2">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2">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2">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2">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2">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2">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2">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2">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2">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2">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2">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2">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2">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2">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2">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2">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2">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2">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2">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2">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2">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2">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2">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2">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2">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2">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2">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2">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2">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2">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2">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2">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2">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2">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2">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2">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2">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2">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2">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2">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2">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2">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2">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2">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2">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2">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2">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2">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2">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2">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2">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2">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2">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2">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2">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2">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2">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2">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2">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2">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2">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2">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2">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2">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2">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2">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2">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2">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2">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2">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2">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2">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2">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2">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2">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2">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2">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2">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2">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2">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2">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2">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2">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2">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2">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2">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2">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2">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2">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2">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2">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2">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2">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2">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2">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2">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2">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2">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2">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2">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2">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2">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2">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2">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2">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2">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2">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2">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2">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2">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2">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2">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2">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2">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2">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2">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2">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2">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2">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2">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2">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2">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2">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2">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2">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2">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2">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2">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2">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2">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2">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2">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2">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2">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2">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2">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2">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2">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2">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2">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2">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2">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2">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2">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2">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2">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2">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2">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2">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2">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2">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2">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2">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2">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2">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2">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2">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2">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2">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2">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2">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2">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2">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2">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2">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2">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2">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2">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2">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2">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2">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2">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2">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2">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2">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2">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2">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2">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2">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2">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2">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2">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2">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2">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2">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2">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2">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2">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2">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2">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2">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3.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3.2">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3.2">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row r="1005" spans="1:26" ht="13.2">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c r="Y1005" s="6"/>
      <c r="Z1005" s="6"/>
    </row>
    <row r="1006" spans="1:26" ht="13.2">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c r="Y1006" s="6"/>
      <c r="Z1006" s="6"/>
    </row>
    <row r="1007" spans="1:26" ht="13.2">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c r="Y1007" s="6"/>
      <c r="Z1007" s="6"/>
    </row>
    <row r="1008" spans="1:26" ht="13.2">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c r="Y1008" s="6"/>
      <c r="Z1008" s="6"/>
    </row>
    <row r="1009" spans="1:26" ht="13.2">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c r="Y1009" s="6"/>
      <c r="Z1009" s="6"/>
    </row>
    <row r="1010" spans="1:26" ht="13.2">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c r="Y1010" s="6"/>
      <c r="Z1010" s="6"/>
    </row>
    <row r="1011" spans="1:26" ht="13.2">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c r="Y1011" s="6"/>
      <c r="Z1011" s="6"/>
    </row>
    <row r="1012" spans="1:26" ht="13.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c r="Y1012" s="6"/>
      <c r="Z1012" s="6"/>
    </row>
    <row r="1013" spans="1:26" ht="13.2">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c r="Y1013" s="6"/>
      <c r="Z1013" s="6"/>
    </row>
    <row r="1014" spans="1:26" ht="13.2">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c r="Y1014" s="6"/>
      <c r="Z1014" s="6"/>
    </row>
    <row r="1015" spans="1:26" ht="13.2">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c r="Y1015" s="6"/>
      <c r="Z1015" s="6"/>
    </row>
    <row r="1016" spans="1:26" ht="13.2">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c r="Y1016" s="6"/>
      <c r="Z1016" s="6"/>
    </row>
    <row r="1017" spans="1:26" ht="13.2">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c r="Y1017" s="6"/>
      <c r="Z1017" s="6"/>
    </row>
    <row r="1018" spans="1:26" ht="13.2">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c r="Y1018" s="6"/>
      <c r="Z1018" s="6"/>
    </row>
    <row r="1019" spans="1:26" ht="13.2">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c r="Y1019" s="6"/>
      <c r="Z1019" s="6"/>
    </row>
    <row r="1020" spans="1:26" ht="13.2">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c r="Y1020" s="6"/>
      <c r="Z1020" s="6"/>
    </row>
    <row r="1021" spans="1:26" ht="13.2">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row>
    <row r="1022" spans="1:26" ht="13.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row>
    <row r="1023" spans="1:26" ht="13.2">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c r="Y1023" s="6"/>
      <c r="Z1023" s="6"/>
    </row>
    <row r="1024" spans="1:26" ht="13.2">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c r="Y1024" s="6"/>
      <c r="Z1024" s="6"/>
    </row>
    <row r="1025" spans="1:26" ht="13.2">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c r="Y1025" s="6"/>
      <c r="Z1025" s="6"/>
    </row>
    <row r="1026" spans="1:26" ht="13.2">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c r="Y1026" s="6"/>
      <c r="Z1026" s="6"/>
    </row>
    <row r="1027" spans="1:26" ht="13.2">
      <c r="A1027" s="6"/>
      <c r="B1027" s="6"/>
      <c r="C1027" s="6"/>
      <c r="D1027" s="6"/>
      <c r="E1027" s="6"/>
      <c r="F1027" s="6"/>
      <c r="G1027" s="6"/>
      <c r="H1027" s="6"/>
      <c r="I1027" s="6"/>
      <c r="J1027" s="6"/>
      <c r="K1027" s="6"/>
      <c r="L1027" s="6"/>
      <c r="M1027" s="6"/>
      <c r="N1027" s="6"/>
      <c r="O1027" s="6"/>
      <c r="P1027" s="6"/>
      <c r="Q1027" s="6"/>
      <c r="R1027" s="6"/>
      <c r="S1027" s="6"/>
      <c r="T1027" s="6"/>
      <c r="U1027" s="6"/>
      <c r="V1027" s="6"/>
      <c r="W1027" s="6"/>
      <c r="X1027" s="6"/>
      <c r="Y1027" s="6"/>
      <c r="Z1027" s="6"/>
    </row>
    <row r="1028" spans="1:26" ht="13.2">
      <c r="A1028" s="6"/>
      <c r="B1028" s="6"/>
      <c r="C1028" s="6"/>
      <c r="D1028" s="6"/>
      <c r="E1028" s="6"/>
      <c r="F1028" s="6"/>
      <c r="G1028" s="6"/>
      <c r="H1028" s="6"/>
      <c r="I1028" s="6"/>
      <c r="J1028" s="6"/>
      <c r="K1028" s="6"/>
      <c r="L1028" s="6"/>
      <c r="M1028" s="6"/>
      <c r="N1028" s="6"/>
      <c r="O1028" s="6"/>
      <c r="P1028" s="6"/>
      <c r="Q1028" s="6"/>
      <c r="R1028" s="6"/>
      <c r="S1028" s="6"/>
      <c r="T1028" s="6"/>
      <c r="U1028" s="6"/>
      <c r="V1028" s="6"/>
      <c r="W1028" s="6"/>
      <c r="X1028" s="6"/>
      <c r="Y1028" s="6"/>
      <c r="Z1028" s="6"/>
    </row>
    <row r="1029" spans="1:26" ht="13.2">
      <c r="A1029" s="6"/>
      <c r="B1029" s="6"/>
      <c r="C1029" s="6"/>
      <c r="D1029" s="6"/>
      <c r="E1029" s="6"/>
      <c r="F1029" s="6"/>
      <c r="G1029" s="6"/>
      <c r="H1029" s="6"/>
      <c r="I1029" s="6"/>
      <c r="J1029" s="6"/>
      <c r="K1029" s="6"/>
      <c r="L1029" s="6"/>
      <c r="M1029" s="6"/>
      <c r="N1029" s="6"/>
      <c r="O1029" s="6"/>
      <c r="P1029" s="6"/>
      <c r="Q1029" s="6"/>
      <c r="R1029" s="6"/>
      <c r="S1029" s="6"/>
      <c r="T1029" s="6"/>
      <c r="U1029" s="6"/>
      <c r="V1029" s="6"/>
      <c r="W1029" s="6"/>
      <c r="X1029" s="6"/>
      <c r="Y1029" s="6"/>
      <c r="Z1029" s="6"/>
    </row>
    <row r="1030" spans="1:26" ht="13.2">
      <c r="A1030" s="6"/>
      <c r="B1030" s="6"/>
      <c r="C1030" s="6"/>
      <c r="D1030" s="6"/>
      <c r="E1030" s="6"/>
      <c r="F1030" s="6"/>
      <c r="G1030" s="6"/>
      <c r="H1030" s="6"/>
      <c r="I1030" s="6"/>
      <c r="J1030" s="6"/>
      <c r="K1030" s="6"/>
      <c r="L1030" s="6"/>
      <c r="M1030" s="6"/>
      <c r="N1030" s="6"/>
      <c r="O1030" s="6"/>
      <c r="P1030" s="6"/>
      <c r="Q1030" s="6"/>
      <c r="R1030" s="6"/>
      <c r="S1030" s="6"/>
      <c r="T1030" s="6"/>
      <c r="U1030" s="6"/>
      <c r="V1030" s="6"/>
      <c r="W1030" s="6"/>
      <c r="X1030" s="6"/>
      <c r="Y1030" s="6"/>
      <c r="Z1030" s="6"/>
    </row>
    <row r="1031" spans="1:26" ht="13.2">
      <c r="A1031" s="6"/>
      <c r="B1031" s="6"/>
      <c r="C1031" s="6"/>
      <c r="D1031" s="6"/>
      <c r="E1031" s="6"/>
      <c r="F1031" s="6"/>
      <c r="G1031" s="6"/>
      <c r="H1031" s="6"/>
      <c r="I1031" s="6"/>
      <c r="J1031" s="6"/>
      <c r="K1031" s="6"/>
      <c r="L1031" s="6"/>
      <c r="M1031" s="6"/>
      <c r="N1031" s="6"/>
      <c r="O1031" s="6"/>
      <c r="P1031" s="6"/>
      <c r="Q1031" s="6"/>
      <c r="R1031" s="6"/>
      <c r="S1031" s="6"/>
      <c r="T1031" s="6"/>
      <c r="U1031" s="6"/>
      <c r="V1031" s="6"/>
      <c r="W1031" s="6"/>
      <c r="X1031" s="6"/>
      <c r="Y1031" s="6"/>
      <c r="Z1031" s="6"/>
    </row>
    <row r="1032" spans="1:26" ht="13.2">
      <c r="A1032" s="6"/>
      <c r="B1032" s="6"/>
      <c r="C1032" s="6"/>
      <c r="D1032" s="6"/>
      <c r="E1032" s="6"/>
      <c r="F1032" s="6"/>
      <c r="G1032" s="6"/>
      <c r="H1032" s="6"/>
      <c r="I1032" s="6"/>
      <c r="J1032" s="6"/>
      <c r="K1032" s="6"/>
      <c r="L1032" s="6"/>
      <c r="M1032" s="6"/>
      <c r="N1032" s="6"/>
      <c r="O1032" s="6"/>
      <c r="P1032" s="6"/>
      <c r="Q1032" s="6"/>
      <c r="R1032" s="6"/>
      <c r="S1032" s="6"/>
      <c r="T1032" s="6"/>
      <c r="U1032" s="6"/>
      <c r="V1032" s="6"/>
      <c r="W1032" s="6"/>
      <c r="X1032" s="6"/>
      <c r="Y1032" s="6"/>
      <c r="Z1032" s="6"/>
    </row>
    <row r="1033" spans="1:26" ht="13.2">
      <c r="A1033" s="6"/>
      <c r="B1033" s="6"/>
      <c r="C1033" s="6"/>
      <c r="D1033" s="6"/>
      <c r="E1033" s="6"/>
      <c r="F1033" s="6"/>
      <c r="G1033" s="6"/>
      <c r="H1033" s="6"/>
      <c r="I1033" s="6"/>
      <c r="J1033" s="6"/>
      <c r="K1033" s="6"/>
      <c r="L1033" s="6"/>
      <c r="M1033" s="6"/>
      <c r="N1033" s="6"/>
      <c r="O1033" s="6"/>
      <c r="P1033" s="6"/>
      <c r="Q1033" s="6"/>
      <c r="R1033" s="6"/>
      <c r="S1033" s="6"/>
      <c r="T1033" s="6"/>
      <c r="U1033" s="6"/>
      <c r="V1033" s="6"/>
      <c r="W1033" s="6"/>
      <c r="X1033" s="6"/>
      <c r="Y1033" s="6"/>
      <c r="Z1033" s="6"/>
    </row>
    <row r="1034" spans="1:26" ht="13.2">
      <c r="A1034" s="6"/>
      <c r="B1034" s="6"/>
      <c r="C1034" s="6"/>
      <c r="D1034" s="6"/>
      <c r="E1034" s="6"/>
      <c r="F1034" s="6"/>
      <c r="G1034" s="6"/>
      <c r="H1034" s="6"/>
      <c r="I1034" s="6"/>
      <c r="J1034" s="6"/>
      <c r="K1034" s="6"/>
      <c r="L1034" s="6"/>
      <c r="M1034" s="6"/>
      <c r="N1034" s="6"/>
      <c r="O1034" s="6"/>
      <c r="P1034" s="6"/>
      <c r="Q1034" s="6"/>
      <c r="R1034" s="6"/>
      <c r="S1034" s="6"/>
      <c r="T1034" s="6"/>
      <c r="U1034" s="6"/>
      <c r="V1034" s="6"/>
      <c r="W1034" s="6"/>
      <c r="X1034" s="6"/>
      <c r="Y1034" s="6"/>
      <c r="Z1034" s="6"/>
    </row>
    <row r="1035" spans="1:26" ht="13.2">
      <c r="A1035" s="6"/>
      <c r="B1035" s="6"/>
      <c r="C1035" s="6"/>
      <c r="D1035" s="6"/>
      <c r="E1035" s="6"/>
      <c r="F1035" s="6"/>
      <c r="G1035" s="6"/>
      <c r="H1035" s="6"/>
      <c r="I1035" s="6"/>
      <c r="J1035" s="6"/>
      <c r="K1035" s="6"/>
      <c r="L1035" s="6"/>
      <c r="M1035" s="6"/>
      <c r="N1035" s="6"/>
      <c r="O1035" s="6"/>
      <c r="P1035" s="6"/>
      <c r="Q1035" s="6"/>
      <c r="R1035" s="6"/>
      <c r="S1035" s="6"/>
      <c r="T1035" s="6"/>
      <c r="U1035" s="6"/>
      <c r="V1035" s="6"/>
      <c r="W1035" s="6"/>
      <c r="X1035" s="6"/>
      <c r="Y1035" s="6"/>
      <c r="Z1035" s="6"/>
    </row>
    <row r="1036" spans="1:26" ht="13.2">
      <c r="A1036" s="6"/>
      <c r="B1036" s="6"/>
      <c r="C1036" s="6"/>
      <c r="D1036" s="6"/>
      <c r="E1036" s="6"/>
      <c r="F1036" s="6"/>
      <c r="G1036" s="6"/>
      <c r="H1036" s="6"/>
      <c r="I1036" s="6"/>
      <c r="J1036" s="6"/>
      <c r="K1036" s="6"/>
      <c r="L1036" s="6"/>
      <c r="M1036" s="6"/>
      <c r="N1036" s="6"/>
      <c r="O1036" s="6"/>
      <c r="P1036" s="6"/>
      <c r="Q1036" s="6"/>
      <c r="R1036" s="6"/>
      <c r="S1036" s="6"/>
      <c r="T1036" s="6"/>
      <c r="U1036" s="6"/>
      <c r="V1036" s="6"/>
      <c r="W1036" s="6"/>
      <c r="X1036" s="6"/>
      <c r="Y1036" s="6"/>
      <c r="Z1036" s="6"/>
    </row>
    <row r="1037" spans="1:26" ht="13.2">
      <c r="A1037" s="6"/>
      <c r="B1037" s="6"/>
      <c r="C1037" s="6"/>
      <c r="D1037" s="6"/>
      <c r="E1037" s="6"/>
      <c r="F1037" s="6"/>
      <c r="G1037" s="6"/>
      <c r="H1037" s="6"/>
      <c r="I1037" s="6"/>
      <c r="J1037" s="6"/>
      <c r="K1037" s="6"/>
      <c r="L1037" s="6"/>
      <c r="M1037" s="6"/>
      <c r="N1037" s="6"/>
      <c r="O1037" s="6"/>
      <c r="P1037" s="6"/>
      <c r="Q1037" s="6"/>
      <c r="R1037" s="6"/>
      <c r="S1037" s="6"/>
      <c r="T1037" s="6"/>
      <c r="U1037" s="6"/>
      <c r="V1037" s="6"/>
      <c r="W1037" s="6"/>
      <c r="X1037" s="6"/>
      <c r="Y1037" s="6"/>
      <c r="Z1037" s="6"/>
    </row>
    <row r="1038" spans="1:26" ht="13.2">
      <c r="A1038" s="6"/>
      <c r="B1038" s="6"/>
      <c r="C1038" s="6"/>
      <c r="D1038" s="6"/>
      <c r="E1038" s="6"/>
      <c r="F1038" s="6"/>
      <c r="G1038" s="6"/>
      <c r="H1038" s="6"/>
      <c r="I1038" s="6"/>
      <c r="J1038" s="6"/>
      <c r="K1038" s="6"/>
      <c r="L1038" s="6"/>
      <c r="M1038" s="6"/>
      <c r="N1038" s="6"/>
      <c r="O1038" s="6"/>
      <c r="P1038" s="6"/>
      <c r="Q1038" s="6"/>
      <c r="R1038" s="6"/>
      <c r="S1038" s="6"/>
      <c r="T1038" s="6"/>
      <c r="U1038" s="6"/>
      <c r="V1038" s="6"/>
      <c r="W1038" s="6"/>
      <c r="X1038" s="6"/>
      <c r="Y1038" s="6"/>
      <c r="Z1038" s="6"/>
    </row>
    <row r="1039" spans="1:26" ht="13.2">
      <c r="A1039" s="6"/>
      <c r="B1039" s="6"/>
      <c r="C1039" s="6"/>
      <c r="D1039" s="6"/>
      <c r="E1039" s="6"/>
      <c r="F1039" s="6"/>
      <c r="G1039" s="6"/>
      <c r="H1039" s="6"/>
      <c r="I1039" s="6"/>
      <c r="J1039" s="6"/>
      <c r="K1039" s="6"/>
      <c r="L1039" s="6"/>
      <c r="M1039" s="6"/>
      <c r="N1039" s="6"/>
      <c r="O1039" s="6"/>
      <c r="P1039" s="6"/>
      <c r="Q1039" s="6"/>
      <c r="R1039" s="6"/>
      <c r="S1039" s="6"/>
      <c r="T1039" s="6"/>
      <c r="U1039" s="6"/>
      <c r="V1039" s="6"/>
      <c r="W1039" s="6"/>
      <c r="X1039" s="6"/>
      <c r="Y1039" s="6"/>
      <c r="Z1039" s="6"/>
    </row>
  </sheetData>
  <mergeCells count="4">
    <mergeCell ref="A15:G15"/>
    <mergeCell ref="A21:G21"/>
    <mergeCell ref="A78:G78"/>
    <mergeCell ref="A96:D96"/>
  </mergeCells>
  <hyperlinks>
    <hyperlink ref="F17" r:id="rId1" xr:uid="{00000000-0004-0000-0200-000000000000}"/>
    <hyperlink ref="F18" r:id="rId2" xr:uid="{00000000-0004-0000-0200-000001000000}"/>
    <hyperlink ref="F23" r:id="rId3" xr:uid="{00000000-0004-0000-0200-000002000000}"/>
    <hyperlink ref="F24" r:id="rId4" xr:uid="{00000000-0004-0000-0200-000003000000}"/>
    <hyperlink ref="F25" r:id="rId5" xr:uid="{00000000-0004-0000-0200-000004000000}"/>
    <hyperlink ref="F26" r:id="rId6" xr:uid="{00000000-0004-0000-0200-000005000000}"/>
    <hyperlink ref="F27" r:id="rId7" xr:uid="{00000000-0004-0000-0200-000006000000}"/>
    <hyperlink ref="F28" r:id="rId8" xr:uid="{00000000-0004-0000-0200-000007000000}"/>
    <hyperlink ref="F29" r:id="rId9" xr:uid="{00000000-0004-0000-0200-000008000000}"/>
    <hyperlink ref="F30" r:id="rId10" xr:uid="{00000000-0004-0000-0200-000009000000}"/>
    <hyperlink ref="F31" r:id="rId11" xr:uid="{00000000-0004-0000-0200-00000A000000}"/>
    <hyperlink ref="F32" r:id="rId12" xr:uid="{00000000-0004-0000-0200-00000B000000}"/>
    <hyperlink ref="F33" r:id="rId13" xr:uid="{00000000-0004-0000-0200-00000C000000}"/>
    <hyperlink ref="F34" r:id="rId14" xr:uid="{00000000-0004-0000-0200-00000D000000}"/>
    <hyperlink ref="F35" r:id="rId15" xr:uid="{00000000-0004-0000-0200-00000E000000}"/>
    <hyperlink ref="F36" r:id="rId16" xr:uid="{00000000-0004-0000-0200-00000F000000}"/>
    <hyperlink ref="F37" r:id="rId17" xr:uid="{00000000-0004-0000-0200-000010000000}"/>
    <hyperlink ref="F38" r:id="rId18" xr:uid="{00000000-0004-0000-0200-000011000000}"/>
    <hyperlink ref="F40" r:id="rId19" xr:uid="{00000000-0004-0000-0200-000012000000}"/>
    <hyperlink ref="F41" r:id="rId20" xr:uid="{00000000-0004-0000-0200-000013000000}"/>
    <hyperlink ref="F42" r:id="rId21" xr:uid="{00000000-0004-0000-0200-000014000000}"/>
    <hyperlink ref="F43" r:id="rId22" xr:uid="{00000000-0004-0000-0200-000015000000}"/>
    <hyperlink ref="F44" r:id="rId23" xr:uid="{00000000-0004-0000-0200-000016000000}"/>
    <hyperlink ref="F45" r:id="rId24" xr:uid="{00000000-0004-0000-0200-000017000000}"/>
    <hyperlink ref="F46" r:id="rId25" xr:uid="{00000000-0004-0000-0200-000018000000}"/>
    <hyperlink ref="F47" r:id="rId26" xr:uid="{00000000-0004-0000-0200-000019000000}"/>
    <hyperlink ref="F48" r:id="rId27" xr:uid="{00000000-0004-0000-0200-00001A000000}"/>
    <hyperlink ref="F49" r:id="rId28" xr:uid="{00000000-0004-0000-0200-00001B000000}"/>
    <hyperlink ref="F50" r:id="rId29" xr:uid="{00000000-0004-0000-0200-00001C000000}"/>
    <hyperlink ref="F51" r:id="rId30" xr:uid="{00000000-0004-0000-0200-00001D000000}"/>
    <hyperlink ref="F52" r:id="rId31" xr:uid="{00000000-0004-0000-0200-00001E000000}"/>
    <hyperlink ref="F53" r:id="rId32" xr:uid="{00000000-0004-0000-0200-00001F000000}"/>
    <hyperlink ref="F54" r:id="rId33" xr:uid="{00000000-0004-0000-0200-000020000000}"/>
    <hyperlink ref="F55" r:id="rId34" xr:uid="{00000000-0004-0000-0200-000021000000}"/>
    <hyperlink ref="F56" r:id="rId35" xr:uid="{00000000-0004-0000-0200-000022000000}"/>
    <hyperlink ref="F57" r:id="rId36" xr:uid="{00000000-0004-0000-0200-000023000000}"/>
    <hyperlink ref="F58" r:id="rId37" xr:uid="{00000000-0004-0000-0200-000024000000}"/>
    <hyperlink ref="F59" r:id="rId38" xr:uid="{00000000-0004-0000-0200-000025000000}"/>
    <hyperlink ref="F60" r:id="rId39" xr:uid="{00000000-0004-0000-0200-000026000000}"/>
    <hyperlink ref="F61" r:id="rId40" xr:uid="{00000000-0004-0000-0200-000027000000}"/>
    <hyperlink ref="F62" r:id="rId41" xr:uid="{00000000-0004-0000-0200-000028000000}"/>
    <hyperlink ref="F63" r:id="rId42" xr:uid="{00000000-0004-0000-0200-000029000000}"/>
    <hyperlink ref="F64" r:id="rId43" xr:uid="{00000000-0004-0000-0200-00002A000000}"/>
    <hyperlink ref="F65" r:id="rId44" xr:uid="{00000000-0004-0000-0200-00002B000000}"/>
    <hyperlink ref="F66" r:id="rId45" xr:uid="{00000000-0004-0000-0200-00002C000000}"/>
    <hyperlink ref="F67" r:id="rId46" xr:uid="{00000000-0004-0000-0200-00002D000000}"/>
    <hyperlink ref="F68" r:id="rId47" xr:uid="{00000000-0004-0000-0200-00002E000000}"/>
    <hyperlink ref="F69" r:id="rId48" xr:uid="{00000000-0004-0000-0200-00002F000000}"/>
    <hyperlink ref="F70" r:id="rId49" xr:uid="{00000000-0004-0000-0200-000030000000}"/>
    <hyperlink ref="F71" r:id="rId50" xr:uid="{00000000-0004-0000-0200-000031000000}"/>
    <hyperlink ref="F72" r:id="rId51" xr:uid="{00000000-0004-0000-0200-000032000000}"/>
    <hyperlink ref="F73" r:id="rId52" xr:uid="{00000000-0004-0000-0200-000033000000}"/>
    <hyperlink ref="F74" r:id="rId53" xr:uid="{00000000-0004-0000-0200-000034000000}"/>
    <hyperlink ref="F75" r:id="rId54" xr:uid="{00000000-0004-0000-0200-000035000000}"/>
    <hyperlink ref="B98" r:id="rId55" xr:uid="{00000000-0004-0000-0200-000036000000}"/>
  </hyperlinks>
  <pageMargins left="0.7" right="0.7" top="0.75" bottom="0.75" header="0.3" footer="0.3"/>
  <pageSetup orientation="portrait" r:id="rId5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967"/>
  <sheetViews>
    <sheetView topLeftCell="A32" workbookViewId="0"/>
  </sheetViews>
  <sheetFormatPr defaultColWidth="12.6640625" defaultRowHeight="15.75" customHeight="1"/>
  <cols>
    <col min="1" max="1" width="21.6640625" customWidth="1"/>
    <col min="2" max="2" width="54" customWidth="1"/>
    <col min="6" max="6" width="25.109375" customWidth="1"/>
  </cols>
  <sheetData>
    <row r="1" spans="1:26" ht="13.2">
      <c r="A1" s="2" t="s">
        <v>1</v>
      </c>
      <c r="B1" s="4"/>
      <c r="C1" s="4"/>
      <c r="D1" s="4"/>
      <c r="E1" s="4"/>
      <c r="F1" s="4"/>
      <c r="G1" s="4"/>
      <c r="H1" s="4"/>
      <c r="I1" s="4"/>
      <c r="J1" s="4"/>
      <c r="K1" s="4"/>
      <c r="L1" s="4"/>
      <c r="M1" s="4"/>
      <c r="N1" s="4"/>
      <c r="O1" s="4"/>
      <c r="P1" s="4"/>
      <c r="Q1" s="4"/>
      <c r="R1" s="4"/>
      <c r="S1" s="4"/>
      <c r="T1" s="4"/>
      <c r="U1" s="4"/>
      <c r="V1" s="4"/>
      <c r="W1" s="4"/>
      <c r="X1" s="4"/>
      <c r="Y1" s="4"/>
      <c r="Z1" s="4"/>
    </row>
    <row r="2" spans="1:26" ht="13.2">
      <c r="A2" s="8" t="s">
        <v>2</v>
      </c>
      <c r="B2" s="8" t="s">
        <v>9</v>
      </c>
      <c r="C2" s="4"/>
      <c r="D2" s="4"/>
      <c r="E2" s="4"/>
      <c r="F2" s="4"/>
      <c r="G2" s="4"/>
      <c r="H2" s="4"/>
      <c r="I2" s="4"/>
      <c r="J2" s="4"/>
      <c r="K2" s="4"/>
      <c r="L2" s="4"/>
      <c r="M2" s="4"/>
      <c r="N2" s="4"/>
      <c r="O2" s="4"/>
      <c r="P2" s="4"/>
      <c r="Q2" s="4"/>
      <c r="R2" s="4"/>
      <c r="S2" s="4"/>
      <c r="T2" s="4"/>
      <c r="U2" s="4"/>
      <c r="V2" s="4"/>
      <c r="W2" s="4"/>
      <c r="X2" s="4"/>
      <c r="Y2" s="4"/>
      <c r="Z2" s="4"/>
    </row>
    <row r="3" spans="1:26" ht="13.2">
      <c r="A3" s="10" t="s">
        <v>3</v>
      </c>
      <c r="B3" s="10">
        <f>SUM(E26,E39,E47,E65,E59)</f>
        <v>57000</v>
      </c>
      <c r="C3" s="4"/>
      <c r="D3" s="4"/>
      <c r="E3" s="4"/>
      <c r="F3" s="4"/>
      <c r="G3" s="4"/>
      <c r="H3" s="4"/>
      <c r="I3" s="4"/>
      <c r="J3" s="4"/>
      <c r="K3" s="4"/>
      <c r="L3" s="4"/>
      <c r="M3" s="4"/>
      <c r="N3" s="4"/>
      <c r="O3" s="4"/>
      <c r="P3" s="4"/>
      <c r="Q3" s="4"/>
      <c r="R3" s="4"/>
      <c r="S3" s="4"/>
      <c r="T3" s="4"/>
      <c r="U3" s="4"/>
      <c r="V3" s="4"/>
      <c r="W3" s="4"/>
      <c r="X3" s="4"/>
      <c r="Y3" s="4"/>
      <c r="Z3" s="4"/>
    </row>
    <row r="4" spans="1:26" ht="13.2">
      <c r="A4" s="10" t="s">
        <v>4</v>
      </c>
      <c r="B4" s="10"/>
      <c r="C4" s="4"/>
      <c r="D4" s="4"/>
      <c r="E4" s="4"/>
      <c r="F4" s="4"/>
      <c r="G4" s="4"/>
      <c r="H4" s="4"/>
      <c r="I4" s="4"/>
      <c r="J4" s="4"/>
      <c r="K4" s="4"/>
      <c r="L4" s="4"/>
      <c r="M4" s="4"/>
      <c r="N4" s="4"/>
      <c r="O4" s="4"/>
      <c r="P4" s="4"/>
      <c r="Q4" s="4"/>
      <c r="R4" s="4"/>
      <c r="S4" s="4"/>
      <c r="T4" s="4"/>
      <c r="U4" s="4"/>
      <c r="V4" s="4"/>
      <c r="W4" s="4"/>
      <c r="X4" s="4"/>
      <c r="Y4" s="4"/>
      <c r="Z4" s="4"/>
    </row>
    <row r="5" spans="1:26" ht="13.2">
      <c r="A5" s="8" t="s">
        <v>5</v>
      </c>
      <c r="B5" s="10">
        <f>SUM(B3:B4)</f>
        <v>57000</v>
      </c>
      <c r="C5" s="4"/>
      <c r="D5" s="4"/>
      <c r="E5" s="4"/>
      <c r="F5" s="4"/>
      <c r="G5" s="4"/>
      <c r="H5" s="4"/>
      <c r="I5" s="4"/>
      <c r="J5" s="4"/>
      <c r="K5" s="4"/>
      <c r="L5" s="4"/>
      <c r="M5" s="4"/>
      <c r="N5" s="4"/>
      <c r="O5" s="4"/>
      <c r="P5" s="4"/>
      <c r="Q5" s="4"/>
      <c r="R5" s="4"/>
      <c r="S5" s="4"/>
      <c r="T5" s="4"/>
      <c r="U5" s="4"/>
      <c r="V5" s="4"/>
      <c r="W5" s="4"/>
      <c r="X5" s="4"/>
      <c r="Y5" s="4"/>
      <c r="Z5" s="4"/>
    </row>
    <row r="6" spans="1:26" ht="13.2">
      <c r="A6" s="2"/>
      <c r="B6" s="4"/>
      <c r="C6" s="4"/>
      <c r="D6" s="4"/>
      <c r="E6" s="4"/>
      <c r="F6" s="4"/>
      <c r="G6" s="4"/>
      <c r="H6" s="4"/>
      <c r="I6" s="4"/>
      <c r="J6" s="4"/>
      <c r="K6" s="4"/>
      <c r="L6" s="4"/>
      <c r="M6" s="4"/>
      <c r="N6" s="4"/>
      <c r="O6" s="4"/>
      <c r="P6" s="4"/>
      <c r="Q6" s="4"/>
      <c r="R6" s="4"/>
      <c r="S6" s="4"/>
      <c r="T6" s="4"/>
      <c r="U6" s="4"/>
      <c r="V6" s="4"/>
      <c r="W6" s="4"/>
      <c r="X6" s="4"/>
      <c r="Y6" s="4"/>
      <c r="Z6" s="4"/>
    </row>
    <row r="7" spans="1:26" ht="13.2">
      <c r="A7" s="2" t="s">
        <v>14</v>
      </c>
      <c r="B7" s="4"/>
      <c r="C7" s="4"/>
      <c r="D7" s="4"/>
      <c r="E7" s="4"/>
      <c r="F7" s="4"/>
      <c r="G7" s="4"/>
      <c r="H7" s="4"/>
      <c r="I7" s="4"/>
      <c r="J7" s="4"/>
      <c r="K7" s="4"/>
      <c r="L7" s="4"/>
      <c r="M7" s="4"/>
      <c r="N7" s="4"/>
      <c r="O7" s="4"/>
      <c r="P7" s="4"/>
      <c r="Q7" s="4"/>
      <c r="R7" s="4"/>
      <c r="S7" s="4"/>
      <c r="T7" s="4"/>
      <c r="U7" s="4"/>
      <c r="V7" s="4"/>
      <c r="W7" s="4"/>
      <c r="X7" s="4"/>
      <c r="Y7" s="4"/>
      <c r="Z7" s="4"/>
    </row>
    <row r="8" spans="1:26" ht="13.2">
      <c r="A8" s="10" t="s">
        <v>24</v>
      </c>
      <c r="B8" s="10" t="s">
        <v>25</v>
      </c>
      <c r="C8" s="4"/>
      <c r="D8" s="4"/>
      <c r="E8" s="4"/>
      <c r="F8" s="4"/>
      <c r="G8" s="4"/>
      <c r="H8" s="4"/>
      <c r="I8" s="4"/>
      <c r="J8" s="4"/>
      <c r="K8" s="4"/>
      <c r="L8" s="4"/>
      <c r="M8" s="4"/>
      <c r="N8" s="4"/>
      <c r="O8" s="4"/>
      <c r="P8" s="4"/>
      <c r="Q8" s="4"/>
      <c r="R8" s="4"/>
      <c r="S8" s="4"/>
      <c r="T8" s="4"/>
      <c r="U8" s="4"/>
      <c r="V8" s="4"/>
      <c r="W8" s="4"/>
      <c r="X8" s="4"/>
      <c r="Y8" s="4"/>
      <c r="Z8" s="4"/>
    </row>
    <row r="9" spans="1:26" ht="13.2">
      <c r="A9" s="10" t="s">
        <v>28</v>
      </c>
      <c r="B9" s="10" t="s">
        <v>29</v>
      </c>
      <c r="C9" s="4"/>
      <c r="D9" s="4"/>
      <c r="E9" s="4"/>
      <c r="F9" s="4"/>
      <c r="G9" s="4"/>
      <c r="H9" s="4"/>
      <c r="I9" s="4"/>
      <c r="J9" s="4"/>
      <c r="K9" s="4"/>
      <c r="L9" s="4"/>
      <c r="M9" s="4"/>
      <c r="N9" s="4"/>
      <c r="O9" s="4"/>
      <c r="P9" s="4"/>
      <c r="Q9" s="4"/>
      <c r="R9" s="4"/>
      <c r="S9" s="4"/>
      <c r="T9" s="4"/>
      <c r="U9" s="4"/>
      <c r="V9" s="4"/>
      <c r="W9" s="4"/>
      <c r="X9" s="4"/>
      <c r="Y9" s="4"/>
      <c r="Z9" s="4"/>
    </row>
    <row r="10" spans="1:26" ht="13.2">
      <c r="A10" s="10" t="s">
        <v>32</v>
      </c>
      <c r="B10" s="10" t="s">
        <v>33</v>
      </c>
      <c r="C10" s="4"/>
      <c r="D10" s="4"/>
      <c r="E10" s="4"/>
      <c r="F10" s="4"/>
      <c r="G10" s="4"/>
      <c r="H10" s="4"/>
      <c r="I10" s="4"/>
      <c r="J10" s="4"/>
      <c r="K10" s="4"/>
      <c r="L10" s="4"/>
      <c r="M10" s="4"/>
      <c r="N10" s="4"/>
      <c r="O10" s="4"/>
      <c r="P10" s="4"/>
      <c r="Q10" s="4"/>
      <c r="R10" s="4"/>
      <c r="S10" s="4"/>
      <c r="T10" s="4"/>
      <c r="U10" s="4"/>
      <c r="V10" s="4"/>
      <c r="W10" s="4"/>
      <c r="X10" s="4"/>
      <c r="Y10" s="4"/>
      <c r="Z10" s="4"/>
    </row>
    <row r="11" spans="1:26" ht="13.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3.2">
      <c r="A12" s="10" t="s">
        <v>41</v>
      </c>
      <c r="B12" s="10" t="s">
        <v>42</v>
      </c>
      <c r="C12" s="4"/>
      <c r="D12" s="4"/>
      <c r="E12" s="4"/>
      <c r="F12" s="4"/>
      <c r="G12" s="4"/>
      <c r="H12" s="4"/>
      <c r="I12" s="4"/>
      <c r="J12" s="4"/>
      <c r="K12" s="4"/>
      <c r="L12" s="4"/>
      <c r="M12" s="4"/>
      <c r="N12" s="4"/>
      <c r="O12" s="4"/>
      <c r="P12" s="4"/>
      <c r="Q12" s="4"/>
      <c r="R12" s="4"/>
      <c r="S12" s="4"/>
      <c r="T12" s="4"/>
      <c r="U12" s="4"/>
      <c r="V12" s="4"/>
      <c r="W12" s="4"/>
      <c r="X12" s="4"/>
      <c r="Y12" s="4"/>
      <c r="Z12" s="4"/>
    </row>
    <row r="13" spans="1:26" ht="13.2">
      <c r="A13" s="10" t="s">
        <v>28</v>
      </c>
      <c r="B13" s="10" t="s">
        <v>45</v>
      </c>
      <c r="C13" s="4"/>
      <c r="D13" s="4"/>
      <c r="E13" s="4"/>
      <c r="F13" s="4"/>
      <c r="G13" s="4"/>
      <c r="H13" s="4"/>
      <c r="I13" s="4"/>
      <c r="J13" s="4"/>
      <c r="K13" s="4"/>
      <c r="L13" s="4"/>
      <c r="M13" s="4"/>
      <c r="N13" s="4"/>
      <c r="O13" s="4"/>
      <c r="P13" s="4"/>
      <c r="Q13" s="4"/>
      <c r="R13" s="4"/>
      <c r="S13" s="4"/>
      <c r="T13" s="4"/>
      <c r="U13" s="4"/>
      <c r="V13" s="4"/>
      <c r="W13" s="4"/>
      <c r="X13" s="4"/>
      <c r="Y13" s="4"/>
      <c r="Z13" s="4"/>
    </row>
    <row r="14" spans="1:26" ht="13.2">
      <c r="A14" s="10" t="s">
        <v>32</v>
      </c>
      <c r="B14" s="10" t="s">
        <v>51</v>
      </c>
      <c r="C14" s="4"/>
      <c r="D14" s="4"/>
      <c r="E14" s="4"/>
      <c r="F14" s="4"/>
      <c r="G14" s="4"/>
      <c r="H14" s="4"/>
      <c r="I14" s="4"/>
      <c r="J14" s="4"/>
      <c r="K14" s="4"/>
      <c r="L14" s="4"/>
      <c r="M14" s="4"/>
      <c r="N14" s="4"/>
      <c r="O14" s="4"/>
      <c r="P14" s="4"/>
      <c r="Q14" s="4"/>
      <c r="R14" s="4"/>
      <c r="S14" s="4"/>
      <c r="T14" s="4"/>
      <c r="U14" s="4"/>
      <c r="V14" s="4"/>
      <c r="W14" s="4"/>
      <c r="X14" s="4"/>
      <c r="Y14" s="4"/>
      <c r="Z14" s="4"/>
    </row>
    <row r="15" spans="1:26" ht="13.2">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2">
      <c r="A16" s="10" t="s">
        <v>58</v>
      </c>
      <c r="B16" s="10" t="s">
        <v>59</v>
      </c>
      <c r="C16" s="4"/>
      <c r="D16" s="4"/>
      <c r="E16" s="4"/>
      <c r="F16" s="4"/>
      <c r="G16" s="4"/>
      <c r="H16" s="4"/>
      <c r="I16" s="4"/>
      <c r="J16" s="4"/>
      <c r="K16" s="4"/>
      <c r="L16" s="4"/>
      <c r="M16" s="4"/>
      <c r="N16" s="4"/>
      <c r="O16" s="4"/>
      <c r="P16" s="4"/>
      <c r="Q16" s="4"/>
      <c r="R16" s="4"/>
      <c r="S16" s="4"/>
      <c r="T16" s="4"/>
      <c r="U16" s="4"/>
      <c r="V16" s="4"/>
      <c r="W16" s="4"/>
      <c r="X16" s="4"/>
      <c r="Y16" s="4"/>
      <c r="Z16" s="4"/>
    </row>
    <row r="17" spans="1:26" ht="13.2">
      <c r="A17" s="10" t="s">
        <v>28</v>
      </c>
      <c r="B17" s="10" t="s">
        <v>61</v>
      </c>
      <c r="C17" s="4"/>
      <c r="D17" s="4"/>
      <c r="E17" s="4"/>
      <c r="F17" s="4"/>
      <c r="G17" s="4"/>
      <c r="H17" s="4"/>
      <c r="I17" s="4"/>
      <c r="J17" s="4"/>
      <c r="K17" s="4"/>
      <c r="L17" s="4"/>
      <c r="M17" s="4"/>
      <c r="N17" s="4"/>
      <c r="O17" s="4"/>
      <c r="P17" s="4"/>
      <c r="Q17" s="4"/>
      <c r="R17" s="4"/>
      <c r="S17" s="4"/>
      <c r="T17" s="4"/>
      <c r="U17" s="4"/>
      <c r="V17" s="4"/>
      <c r="W17" s="4"/>
      <c r="X17" s="4"/>
      <c r="Y17" s="4"/>
      <c r="Z17" s="4"/>
    </row>
    <row r="18" spans="1:26" ht="13.2">
      <c r="A18" s="10" t="s">
        <v>32</v>
      </c>
      <c r="B18" s="10" t="s">
        <v>51</v>
      </c>
      <c r="C18" s="4"/>
      <c r="D18" s="4"/>
      <c r="E18" s="4"/>
      <c r="F18" s="4"/>
      <c r="G18" s="4"/>
      <c r="H18" s="4"/>
      <c r="I18" s="4"/>
      <c r="J18" s="4"/>
      <c r="K18" s="4"/>
      <c r="L18" s="4"/>
      <c r="M18" s="4"/>
      <c r="N18" s="4"/>
      <c r="O18" s="4"/>
      <c r="P18" s="4"/>
      <c r="Q18" s="4"/>
      <c r="R18" s="4"/>
      <c r="S18" s="4"/>
      <c r="T18" s="4"/>
      <c r="U18" s="4"/>
      <c r="V18" s="4"/>
      <c r="W18" s="4"/>
      <c r="X18" s="4"/>
      <c r="Y18" s="4"/>
      <c r="Z18" s="4"/>
    </row>
    <row r="19" spans="1:26" ht="13.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2">
      <c r="A20" s="10" t="s">
        <v>70</v>
      </c>
      <c r="B20" s="10" t="s">
        <v>71</v>
      </c>
      <c r="C20" s="4"/>
      <c r="D20" s="4"/>
      <c r="E20" s="4"/>
      <c r="F20" s="4"/>
      <c r="G20" s="4"/>
      <c r="H20" s="4"/>
      <c r="I20" s="4"/>
      <c r="J20" s="4"/>
      <c r="K20" s="4"/>
      <c r="L20" s="4"/>
      <c r="M20" s="4"/>
      <c r="N20" s="4"/>
      <c r="O20" s="4"/>
      <c r="P20" s="4"/>
      <c r="Q20" s="4"/>
      <c r="R20" s="4"/>
      <c r="S20" s="4"/>
      <c r="T20" s="4"/>
      <c r="U20" s="4"/>
      <c r="V20" s="4"/>
      <c r="W20" s="4"/>
      <c r="X20" s="4"/>
      <c r="Y20" s="4"/>
      <c r="Z20" s="4"/>
    </row>
    <row r="21" spans="1:26" ht="13.2">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3.2">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3.2">
      <c r="A23" s="225" t="s">
        <v>34</v>
      </c>
      <c r="B23" s="226"/>
      <c r="C23" s="226"/>
      <c r="D23" s="226"/>
      <c r="E23" s="226"/>
      <c r="F23" s="227"/>
      <c r="G23" s="4"/>
      <c r="H23" s="4"/>
      <c r="I23" s="4"/>
      <c r="J23" s="4"/>
      <c r="K23" s="4"/>
      <c r="L23" s="4"/>
      <c r="M23" s="4"/>
      <c r="N23" s="4"/>
      <c r="O23" s="4"/>
      <c r="P23" s="4"/>
      <c r="Q23" s="4"/>
      <c r="R23" s="4"/>
      <c r="S23" s="4"/>
      <c r="T23" s="4"/>
      <c r="U23" s="4"/>
      <c r="V23" s="4"/>
      <c r="W23" s="4"/>
      <c r="X23" s="4"/>
      <c r="Y23" s="4"/>
      <c r="Z23" s="4"/>
    </row>
    <row r="24" spans="1:26" ht="13.2">
      <c r="A24" s="10" t="s">
        <v>44</v>
      </c>
      <c r="B24" s="10" t="s">
        <v>46</v>
      </c>
      <c r="C24" s="10" t="s">
        <v>47</v>
      </c>
      <c r="D24" s="10" t="s">
        <v>48</v>
      </c>
      <c r="E24" s="10" t="s">
        <v>9</v>
      </c>
      <c r="F24" s="10" t="s">
        <v>52</v>
      </c>
      <c r="G24" s="4"/>
      <c r="H24" s="4"/>
      <c r="I24" s="4"/>
      <c r="J24" s="4"/>
      <c r="K24" s="4"/>
      <c r="L24" s="4"/>
      <c r="M24" s="4"/>
      <c r="N24" s="4"/>
      <c r="O24" s="4"/>
      <c r="P24" s="4"/>
      <c r="Q24" s="4"/>
      <c r="R24" s="4"/>
      <c r="S24" s="4"/>
      <c r="T24" s="4"/>
      <c r="U24" s="4"/>
      <c r="V24" s="4"/>
      <c r="W24" s="4"/>
      <c r="X24" s="4"/>
      <c r="Y24" s="4"/>
      <c r="Z24" s="4"/>
    </row>
    <row r="25" spans="1:26" ht="13.2">
      <c r="A25" s="10">
        <v>1</v>
      </c>
      <c r="B25" s="10" t="s">
        <v>82</v>
      </c>
      <c r="C25" s="10">
        <v>10000</v>
      </c>
      <c r="D25" s="10">
        <v>1</v>
      </c>
      <c r="E25" s="10">
        <f>C25*D25</f>
        <v>10000</v>
      </c>
      <c r="F25" s="20" t="s">
        <v>88</v>
      </c>
      <c r="G25" s="4"/>
      <c r="H25" s="4"/>
      <c r="I25" s="4"/>
      <c r="J25" s="4"/>
      <c r="K25" s="4"/>
      <c r="L25" s="4"/>
      <c r="M25" s="4"/>
      <c r="N25" s="4"/>
      <c r="O25" s="4"/>
      <c r="P25" s="4"/>
      <c r="Q25" s="4"/>
      <c r="R25" s="4"/>
      <c r="S25" s="4"/>
      <c r="T25" s="4"/>
      <c r="U25" s="4"/>
      <c r="V25" s="4"/>
      <c r="W25" s="4"/>
      <c r="X25" s="4"/>
      <c r="Y25" s="4"/>
      <c r="Z25" s="4"/>
    </row>
    <row r="26" spans="1:26" ht="13.2">
      <c r="A26" s="4"/>
      <c r="B26" s="8" t="s">
        <v>5</v>
      </c>
      <c r="C26" s="8"/>
      <c r="D26" s="8"/>
      <c r="E26" s="8">
        <f>SUM(E25)</f>
        <v>10000</v>
      </c>
      <c r="F26" s="4"/>
      <c r="G26" s="4"/>
      <c r="H26" s="4"/>
      <c r="I26" s="4"/>
      <c r="J26" s="4"/>
      <c r="K26" s="4"/>
      <c r="L26" s="4"/>
      <c r="M26" s="4"/>
      <c r="N26" s="4"/>
      <c r="O26" s="4"/>
      <c r="P26" s="4"/>
      <c r="Q26" s="4"/>
      <c r="R26" s="4"/>
      <c r="S26" s="4"/>
      <c r="T26" s="4"/>
      <c r="U26" s="4"/>
      <c r="V26" s="4"/>
      <c r="W26" s="4"/>
      <c r="X26" s="4"/>
      <c r="Y26" s="4"/>
      <c r="Z26" s="4"/>
    </row>
    <row r="27" spans="1:26" ht="13.2">
      <c r="A27" s="2"/>
      <c r="B27" s="4"/>
      <c r="C27" s="4"/>
      <c r="D27" s="4"/>
      <c r="E27" s="4"/>
      <c r="F27" s="4"/>
      <c r="G27" s="4"/>
      <c r="H27" s="4"/>
      <c r="I27" s="4"/>
      <c r="J27" s="4"/>
      <c r="K27" s="4"/>
      <c r="L27" s="4"/>
      <c r="M27" s="4"/>
      <c r="N27" s="4"/>
      <c r="O27" s="4"/>
      <c r="P27" s="4"/>
      <c r="Q27" s="4"/>
      <c r="R27" s="4"/>
      <c r="S27" s="4"/>
      <c r="T27" s="4"/>
      <c r="U27" s="4"/>
      <c r="V27" s="4"/>
      <c r="W27" s="4"/>
      <c r="X27" s="4"/>
      <c r="Y27" s="4"/>
      <c r="Z27" s="4"/>
    </row>
    <row r="28" spans="1:26" ht="13.2">
      <c r="A28" s="225" t="s">
        <v>103</v>
      </c>
      <c r="B28" s="226"/>
      <c r="C28" s="226"/>
      <c r="D28" s="226"/>
      <c r="E28" s="226"/>
      <c r="F28" s="227"/>
      <c r="G28" s="4"/>
      <c r="H28" s="4"/>
      <c r="I28" s="4"/>
      <c r="J28" s="4"/>
      <c r="K28" s="4"/>
      <c r="L28" s="4"/>
      <c r="M28" s="4"/>
      <c r="N28" s="4"/>
      <c r="O28" s="4"/>
      <c r="P28" s="4"/>
      <c r="Q28" s="4"/>
      <c r="R28" s="4"/>
      <c r="S28" s="4"/>
      <c r="T28" s="4"/>
      <c r="U28" s="4"/>
      <c r="V28" s="4"/>
      <c r="W28" s="4"/>
      <c r="X28" s="4"/>
      <c r="Y28" s="4"/>
      <c r="Z28" s="4"/>
    </row>
    <row r="29" spans="1:26" ht="13.2">
      <c r="A29" s="10" t="s">
        <v>44</v>
      </c>
      <c r="B29" s="10" t="s">
        <v>46</v>
      </c>
      <c r="C29" s="10" t="s">
        <v>47</v>
      </c>
      <c r="D29" s="10" t="s">
        <v>48</v>
      </c>
      <c r="E29" s="10" t="s">
        <v>9</v>
      </c>
      <c r="F29" s="10" t="s">
        <v>52</v>
      </c>
      <c r="G29" s="4"/>
      <c r="H29" s="4"/>
      <c r="I29" s="4"/>
      <c r="J29" s="4"/>
      <c r="K29" s="4"/>
      <c r="L29" s="4"/>
      <c r="M29" s="4"/>
      <c r="N29" s="4"/>
      <c r="O29" s="4"/>
      <c r="P29" s="4"/>
      <c r="Q29" s="4"/>
      <c r="R29" s="4"/>
      <c r="S29" s="4"/>
      <c r="T29" s="4"/>
      <c r="U29" s="4"/>
      <c r="V29" s="4"/>
      <c r="W29" s="4"/>
      <c r="X29" s="4"/>
      <c r="Y29" s="4"/>
      <c r="Z29" s="4"/>
    </row>
    <row r="30" spans="1:26" ht="13.2">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30" customHeight="1">
      <c r="A31" s="225" t="s">
        <v>110</v>
      </c>
      <c r="B31" s="226"/>
      <c r="C31" s="226"/>
      <c r="D31" s="226"/>
      <c r="E31" s="226"/>
      <c r="F31" s="227"/>
      <c r="G31" s="4"/>
      <c r="H31" s="4"/>
      <c r="I31" s="4"/>
      <c r="J31" s="4"/>
      <c r="K31" s="4"/>
      <c r="L31" s="4"/>
      <c r="M31" s="4"/>
      <c r="N31" s="4"/>
      <c r="O31" s="4"/>
      <c r="P31" s="4"/>
      <c r="Q31" s="4"/>
      <c r="R31" s="4"/>
      <c r="S31" s="4"/>
      <c r="T31" s="4"/>
      <c r="U31" s="4"/>
      <c r="V31" s="4"/>
      <c r="W31" s="4"/>
      <c r="X31" s="4"/>
      <c r="Y31" s="4"/>
      <c r="Z31" s="4"/>
    </row>
    <row r="32" spans="1:26" ht="13.2">
      <c r="A32" s="2"/>
      <c r="B32" s="4"/>
      <c r="C32" s="4"/>
      <c r="D32" s="4"/>
      <c r="E32" s="4"/>
      <c r="F32" s="4"/>
      <c r="G32" s="4"/>
      <c r="H32" s="4"/>
      <c r="I32" s="4"/>
      <c r="J32" s="4"/>
      <c r="K32" s="4"/>
      <c r="L32" s="4"/>
      <c r="M32" s="4"/>
      <c r="N32" s="4"/>
      <c r="O32" s="4"/>
      <c r="P32" s="4"/>
      <c r="Q32" s="4"/>
      <c r="R32" s="4"/>
      <c r="S32" s="4"/>
      <c r="T32" s="4"/>
      <c r="U32" s="4"/>
      <c r="V32" s="4"/>
      <c r="W32" s="4"/>
      <c r="X32" s="4"/>
      <c r="Y32" s="4"/>
      <c r="Z32" s="4"/>
    </row>
    <row r="33" spans="1:26" ht="13.2">
      <c r="A33" s="2"/>
      <c r="B33" s="4"/>
      <c r="C33" s="4"/>
      <c r="D33" s="4"/>
      <c r="E33" s="4"/>
      <c r="F33" s="4"/>
      <c r="G33" s="4"/>
      <c r="H33" s="4"/>
      <c r="I33" s="4"/>
      <c r="J33" s="4"/>
      <c r="K33" s="4"/>
      <c r="L33" s="4"/>
      <c r="M33" s="4"/>
      <c r="N33" s="4"/>
      <c r="O33" s="4"/>
      <c r="P33" s="4"/>
      <c r="Q33" s="4"/>
      <c r="R33" s="4"/>
      <c r="S33" s="4"/>
      <c r="T33" s="4"/>
      <c r="U33" s="4"/>
      <c r="V33" s="4"/>
      <c r="W33" s="4"/>
      <c r="X33" s="4"/>
      <c r="Y33" s="4"/>
      <c r="Z33" s="4"/>
    </row>
    <row r="34" spans="1:26" ht="13.2">
      <c r="A34" s="10" t="s">
        <v>115</v>
      </c>
      <c r="B34" s="8" t="s">
        <v>116</v>
      </c>
      <c r="C34" s="4"/>
      <c r="D34" s="4"/>
      <c r="E34" s="4"/>
      <c r="F34" s="4"/>
      <c r="G34" s="4"/>
      <c r="H34" s="4"/>
      <c r="I34" s="4"/>
      <c r="J34" s="4"/>
      <c r="K34" s="4"/>
      <c r="L34" s="4"/>
      <c r="M34" s="4"/>
      <c r="N34" s="4"/>
      <c r="O34" s="4"/>
      <c r="P34" s="4"/>
      <c r="Q34" s="4"/>
      <c r="R34" s="4"/>
      <c r="S34" s="4"/>
      <c r="T34" s="4"/>
      <c r="U34" s="4"/>
      <c r="V34" s="4"/>
      <c r="W34" s="4"/>
      <c r="X34" s="4"/>
      <c r="Y34" s="4"/>
      <c r="Z34" s="4"/>
    </row>
    <row r="35" spans="1:26" ht="13.2">
      <c r="A35" s="10" t="s">
        <v>117</v>
      </c>
      <c r="B35" s="10" t="s">
        <v>118</v>
      </c>
      <c r="C35" s="4"/>
      <c r="D35" s="4"/>
      <c r="E35" s="4"/>
      <c r="F35" s="4"/>
      <c r="G35" s="4"/>
      <c r="H35" s="4"/>
      <c r="I35" s="4"/>
      <c r="J35" s="4"/>
      <c r="K35" s="4"/>
      <c r="L35" s="4"/>
      <c r="M35" s="4"/>
      <c r="N35" s="4"/>
      <c r="O35" s="4"/>
      <c r="P35" s="4"/>
      <c r="Q35" s="4"/>
      <c r="R35" s="4"/>
      <c r="S35" s="4"/>
      <c r="T35" s="4"/>
      <c r="U35" s="4"/>
      <c r="V35" s="4"/>
      <c r="W35" s="4"/>
      <c r="X35" s="4"/>
      <c r="Y35" s="4"/>
      <c r="Z35" s="4"/>
    </row>
    <row r="36" spans="1:26" ht="13.2">
      <c r="A36" s="10" t="s">
        <v>121</v>
      </c>
      <c r="B36" s="10"/>
      <c r="C36" s="4"/>
      <c r="D36" s="4"/>
      <c r="E36" s="4"/>
      <c r="F36" s="4"/>
      <c r="G36" s="4"/>
      <c r="H36" s="4"/>
      <c r="I36" s="4"/>
      <c r="J36" s="4"/>
      <c r="K36" s="4"/>
      <c r="L36" s="4"/>
      <c r="M36" s="4"/>
      <c r="N36" s="4"/>
      <c r="O36" s="4"/>
      <c r="P36" s="4"/>
      <c r="Q36" s="4"/>
      <c r="R36" s="4"/>
      <c r="S36" s="4"/>
      <c r="T36" s="4"/>
      <c r="U36" s="4"/>
      <c r="V36" s="4"/>
      <c r="W36" s="4"/>
      <c r="X36" s="4"/>
      <c r="Y36" s="4"/>
      <c r="Z36" s="4"/>
    </row>
    <row r="37" spans="1:26" ht="13.2">
      <c r="A37" s="8" t="s">
        <v>44</v>
      </c>
      <c r="B37" s="8" t="s">
        <v>46</v>
      </c>
      <c r="C37" s="8" t="s">
        <v>47</v>
      </c>
      <c r="D37" s="8" t="s">
        <v>48</v>
      </c>
      <c r="E37" s="8" t="s">
        <v>9</v>
      </c>
      <c r="F37" s="8" t="s">
        <v>52</v>
      </c>
      <c r="G37" s="4"/>
      <c r="H37" s="4"/>
      <c r="I37" s="4"/>
      <c r="J37" s="4"/>
      <c r="K37" s="4"/>
      <c r="L37" s="4"/>
      <c r="M37" s="4"/>
      <c r="N37" s="4"/>
      <c r="O37" s="4"/>
      <c r="P37" s="4"/>
      <c r="Q37" s="4"/>
      <c r="R37" s="4"/>
      <c r="S37" s="4"/>
      <c r="T37" s="4"/>
      <c r="U37" s="4"/>
      <c r="V37" s="4"/>
      <c r="W37" s="4"/>
      <c r="X37" s="4"/>
      <c r="Y37" s="4"/>
      <c r="Z37" s="4"/>
    </row>
    <row r="38" spans="1:26" ht="13.2">
      <c r="A38" s="10">
        <v>1</v>
      </c>
      <c r="B38" s="10" t="s">
        <v>123</v>
      </c>
      <c r="C38" s="10">
        <v>400</v>
      </c>
      <c r="D38" s="10">
        <v>30</v>
      </c>
      <c r="E38" s="10">
        <v>12000</v>
      </c>
      <c r="F38" s="10"/>
      <c r="G38" s="4"/>
      <c r="H38" s="4"/>
      <c r="I38" s="4"/>
      <c r="J38" s="4"/>
      <c r="K38" s="4"/>
      <c r="L38" s="4"/>
      <c r="M38" s="4"/>
      <c r="N38" s="4"/>
      <c r="O38" s="4"/>
      <c r="P38" s="4"/>
      <c r="Q38" s="4"/>
      <c r="R38" s="4"/>
      <c r="S38" s="4"/>
      <c r="T38" s="4"/>
      <c r="U38" s="4"/>
      <c r="V38" s="4"/>
      <c r="W38" s="4"/>
      <c r="X38" s="4"/>
      <c r="Y38" s="4"/>
      <c r="Z38" s="4"/>
    </row>
    <row r="39" spans="1:26" ht="13.2">
      <c r="A39" s="2"/>
      <c r="B39" s="8" t="s">
        <v>5</v>
      </c>
      <c r="C39" s="8"/>
      <c r="D39" s="8"/>
      <c r="E39" s="8">
        <f>SUM(E38)</f>
        <v>12000</v>
      </c>
      <c r="F39" s="4"/>
      <c r="G39" s="4"/>
      <c r="H39" s="4"/>
      <c r="I39" s="4"/>
      <c r="J39" s="4"/>
      <c r="K39" s="4"/>
      <c r="L39" s="4"/>
      <c r="M39" s="4"/>
      <c r="N39" s="4"/>
      <c r="O39" s="4"/>
      <c r="P39" s="4"/>
      <c r="Q39" s="4"/>
      <c r="R39" s="4"/>
      <c r="S39" s="4"/>
      <c r="T39" s="4"/>
      <c r="U39" s="4"/>
      <c r="V39" s="4"/>
      <c r="W39" s="4"/>
      <c r="X39" s="4"/>
      <c r="Y39" s="4"/>
      <c r="Z39" s="4"/>
    </row>
    <row r="40" spans="1:26" ht="13.2">
      <c r="A40" s="2"/>
      <c r="B40" s="4"/>
      <c r="D40" s="4"/>
      <c r="E40" s="4"/>
      <c r="F40" s="4"/>
      <c r="G40" s="4"/>
      <c r="H40" s="4"/>
      <c r="I40" s="4"/>
      <c r="J40" s="4"/>
      <c r="K40" s="4"/>
      <c r="L40" s="4"/>
      <c r="M40" s="4"/>
      <c r="N40" s="4"/>
      <c r="O40" s="4"/>
      <c r="P40" s="4"/>
      <c r="Q40" s="4"/>
      <c r="R40" s="4"/>
      <c r="S40" s="4"/>
      <c r="T40" s="4"/>
      <c r="U40" s="4"/>
      <c r="V40" s="4"/>
      <c r="W40" s="4"/>
      <c r="X40" s="4"/>
      <c r="Y40" s="4"/>
      <c r="Z40" s="4"/>
    </row>
    <row r="41" spans="1:26" ht="24" customHeight="1">
      <c r="A41" s="10" t="s">
        <v>115</v>
      </c>
      <c r="B41" s="8" t="s">
        <v>127</v>
      </c>
      <c r="C41" s="4"/>
      <c r="D41" s="4"/>
      <c r="E41" s="4"/>
      <c r="F41" s="4"/>
      <c r="G41" s="4"/>
      <c r="H41" s="4"/>
      <c r="I41" s="4"/>
      <c r="J41" s="4"/>
      <c r="K41" s="4"/>
      <c r="L41" s="4"/>
      <c r="M41" s="4"/>
      <c r="N41" s="4"/>
      <c r="O41" s="4"/>
      <c r="P41" s="4"/>
      <c r="Q41" s="4"/>
      <c r="R41" s="4"/>
      <c r="S41" s="4"/>
      <c r="T41" s="4"/>
      <c r="U41" s="4"/>
      <c r="V41" s="4"/>
      <c r="W41" s="4"/>
      <c r="X41" s="4"/>
      <c r="Y41" s="4"/>
      <c r="Z41" s="4"/>
    </row>
    <row r="42" spans="1:26" ht="13.2">
      <c r="A42" s="10" t="s">
        <v>117</v>
      </c>
      <c r="B42" s="10" t="s">
        <v>129</v>
      </c>
      <c r="C42" s="4"/>
      <c r="D42" s="4"/>
      <c r="E42" s="4"/>
      <c r="F42" s="4"/>
      <c r="G42" s="4"/>
      <c r="H42" s="4"/>
      <c r="I42" s="4"/>
      <c r="J42" s="4"/>
      <c r="K42" s="4"/>
      <c r="L42" s="4"/>
      <c r="M42" s="4"/>
      <c r="N42" s="4"/>
      <c r="O42" s="4"/>
      <c r="P42" s="4"/>
      <c r="Q42" s="4"/>
      <c r="R42" s="4"/>
      <c r="S42" s="4"/>
      <c r="T42" s="4"/>
      <c r="U42" s="4"/>
      <c r="V42" s="4"/>
      <c r="W42" s="4"/>
      <c r="X42" s="4"/>
      <c r="Y42" s="4"/>
      <c r="Z42" s="4"/>
    </row>
    <row r="43" spans="1:26" ht="13.2">
      <c r="A43" s="10" t="s">
        <v>130</v>
      </c>
      <c r="B43" s="10"/>
      <c r="C43" s="4"/>
      <c r="D43" s="4"/>
      <c r="E43" s="4"/>
      <c r="F43" s="4"/>
      <c r="G43" s="4"/>
      <c r="H43" s="4"/>
      <c r="I43" s="4"/>
      <c r="J43" s="4"/>
      <c r="K43" s="4"/>
      <c r="L43" s="4"/>
      <c r="M43" s="4"/>
      <c r="N43" s="4"/>
      <c r="O43" s="4"/>
      <c r="P43" s="4"/>
      <c r="Q43" s="4"/>
      <c r="R43" s="4"/>
      <c r="S43" s="4"/>
      <c r="T43" s="4"/>
      <c r="U43" s="4"/>
      <c r="V43" s="4"/>
      <c r="W43" s="4"/>
      <c r="X43" s="4"/>
      <c r="Y43" s="4"/>
      <c r="Z43" s="4"/>
    </row>
    <row r="44" spans="1:26" ht="13.2">
      <c r="A44" s="8" t="s">
        <v>44</v>
      </c>
      <c r="B44" s="8" t="s">
        <v>46</v>
      </c>
      <c r="C44" s="8" t="s">
        <v>47</v>
      </c>
      <c r="D44" s="8" t="s">
        <v>48</v>
      </c>
      <c r="E44" s="8" t="s">
        <v>9</v>
      </c>
      <c r="F44" s="8" t="s">
        <v>52</v>
      </c>
      <c r="G44" s="4"/>
      <c r="H44" s="4"/>
      <c r="I44" s="4"/>
      <c r="J44" s="4"/>
      <c r="K44" s="4"/>
      <c r="L44" s="4"/>
      <c r="M44" s="4"/>
      <c r="N44" s="4"/>
      <c r="O44" s="4"/>
      <c r="P44" s="4"/>
      <c r="Q44" s="4"/>
      <c r="R44" s="4"/>
      <c r="S44" s="4"/>
      <c r="T44" s="4"/>
      <c r="U44" s="4"/>
      <c r="V44" s="4"/>
      <c r="W44" s="4"/>
      <c r="X44" s="4"/>
      <c r="Y44" s="4"/>
      <c r="Z44" s="4"/>
    </row>
    <row r="45" spans="1:26" ht="13.2">
      <c r="A45" s="10">
        <v>1</v>
      </c>
      <c r="B45" s="10" t="s">
        <v>135</v>
      </c>
      <c r="C45" s="10">
        <v>40</v>
      </c>
      <c r="D45" s="10">
        <v>100</v>
      </c>
      <c r="E45" s="10">
        <v>4000</v>
      </c>
      <c r="F45" s="10"/>
      <c r="G45" s="4" t="s">
        <v>137</v>
      </c>
      <c r="H45" s="4"/>
      <c r="I45" s="4"/>
      <c r="J45" s="4"/>
      <c r="K45" s="4"/>
      <c r="L45" s="4"/>
      <c r="M45" s="4"/>
      <c r="N45" s="4"/>
      <c r="O45" s="4"/>
      <c r="P45" s="4"/>
      <c r="Q45" s="4"/>
      <c r="R45" s="4"/>
      <c r="S45" s="4"/>
      <c r="T45" s="4"/>
      <c r="U45" s="4"/>
      <c r="V45" s="4"/>
      <c r="W45" s="4"/>
      <c r="X45" s="4"/>
      <c r="Y45" s="4"/>
      <c r="Z45" s="4"/>
    </row>
    <row r="46" spans="1:26" ht="13.2">
      <c r="A46" s="10">
        <v>2</v>
      </c>
      <c r="B46" s="10" t="s">
        <v>138</v>
      </c>
      <c r="C46" s="10">
        <v>15000</v>
      </c>
      <c r="D46" s="10">
        <v>1</v>
      </c>
      <c r="E46" s="10">
        <v>15000</v>
      </c>
      <c r="F46" s="10" t="s">
        <v>139</v>
      </c>
      <c r="G46" s="4"/>
      <c r="H46" s="4"/>
      <c r="I46" s="4"/>
      <c r="J46" s="4"/>
      <c r="K46" s="4"/>
      <c r="L46" s="4"/>
      <c r="M46" s="4"/>
      <c r="N46" s="4"/>
      <c r="O46" s="4"/>
      <c r="P46" s="4"/>
      <c r="Q46" s="4"/>
      <c r="R46" s="4"/>
      <c r="S46" s="4"/>
      <c r="T46" s="4"/>
      <c r="U46" s="4"/>
      <c r="V46" s="4"/>
      <c r="W46" s="4"/>
      <c r="X46" s="4"/>
      <c r="Y46" s="4"/>
      <c r="Z46" s="4"/>
    </row>
    <row r="47" spans="1:26" ht="13.2">
      <c r="A47" s="2"/>
      <c r="B47" s="8" t="s">
        <v>5</v>
      </c>
      <c r="C47" s="8"/>
      <c r="D47" s="8"/>
      <c r="E47" s="8">
        <f>SUM(E45:E46)</f>
        <v>19000</v>
      </c>
      <c r="F47" s="4"/>
      <c r="G47" s="4"/>
      <c r="H47" s="4"/>
      <c r="I47" s="4"/>
      <c r="J47" s="4"/>
      <c r="K47" s="4"/>
      <c r="L47" s="4"/>
      <c r="M47" s="4"/>
      <c r="N47" s="4"/>
      <c r="O47" s="4"/>
      <c r="P47" s="4"/>
      <c r="Q47" s="4"/>
      <c r="R47" s="4"/>
      <c r="S47" s="4"/>
      <c r="T47" s="4"/>
      <c r="U47" s="4"/>
      <c r="V47" s="4"/>
      <c r="W47" s="4"/>
      <c r="X47" s="4"/>
      <c r="Y47" s="4"/>
      <c r="Z47" s="4"/>
    </row>
    <row r="48" spans="1:26" ht="13.2">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2">
      <c r="A49" s="10" t="s">
        <v>115</v>
      </c>
      <c r="B49" s="10" t="s">
        <v>141</v>
      </c>
      <c r="C49" s="4"/>
      <c r="D49" s="4"/>
      <c r="E49" s="4"/>
      <c r="F49" s="4"/>
      <c r="G49" s="4"/>
      <c r="H49" s="4"/>
      <c r="I49" s="4"/>
      <c r="J49" s="4"/>
      <c r="K49" s="4"/>
      <c r="L49" s="4"/>
      <c r="M49" s="4"/>
      <c r="N49" s="4"/>
      <c r="O49" s="4"/>
      <c r="P49" s="4"/>
      <c r="Q49" s="4"/>
      <c r="R49" s="4"/>
      <c r="S49" s="4"/>
      <c r="T49" s="4"/>
      <c r="U49" s="4"/>
      <c r="V49" s="4"/>
      <c r="W49" s="4"/>
      <c r="X49" s="4"/>
      <c r="Y49" s="4"/>
      <c r="Z49" s="4"/>
    </row>
    <row r="50" spans="1:26" ht="13.2">
      <c r="A50" s="10" t="s">
        <v>117</v>
      </c>
      <c r="B50" s="10" t="s">
        <v>143</v>
      </c>
      <c r="C50" s="4"/>
      <c r="D50" s="4"/>
      <c r="E50" s="4"/>
      <c r="F50" s="4"/>
      <c r="G50" s="4"/>
      <c r="H50" s="4"/>
      <c r="I50" s="4"/>
      <c r="J50" s="4"/>
      <c r="K50" s="4"/>
      <c r="L50" s="4"/>
      <c r="M50" s="4"/>
      <c r="N50" s="4"/>
      <c r="O50" s="4"/>
      <c r="P50" s="4"/>
      <c r="Q50" s="4"/>
      <c r="R50" s="4"/>
      <c r="S50" s="4"/>
      <c r="T50" s="4"/>
      <c r="U50" s="4"/>
      <c r="V50" s="4"/>
      <c r="W50" s="4"/>
      <c r="X50" s="4"/>
      <c r="Y50" s="4"/>
      <c r="Z50" s="4"/>
    </row>
    <row r="51" spans="1:26" ht="13.2">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2">
      <c r="A52" s="10" t="s">
        <v>115</v>
      </c>
      <c r="B52" s="10" t="s">
        <v>145</v>
      </c>
      <c r="C52" s="4"/>
      <c r="D52" s="4"/>
      <c r="E52" s="4"/>
      <c r="F52" s="4"/>
      <c r="G52" s="4"/>
      <c r="H52" s="4"/>
      <c r="I52" s="4"/>
      <c r="J52" s="4"/>
      <c r="K52" s="4"/>
      <c r="L52" s="4"/>
      <c r="M52" s="4"/>
      <c r="N52" s="4"/>
      <c r="O52" s="4"/>
      <c r="P52" s="4"/>
      <c r="Q52" s="4"/>
      <c r="R52" s="4"/>
      <c r="S52" s="4"/>
      <c r="T52" s="4"/>
      <c r="U52" s="4"/>
      <c r="V52" s="4"/>
      <c r="W52" s="4"/>
      <c r="X52" s="4"/>
      <c r="Y52" s="4"/>
      <c r="Z52" s="4"/>
    </row>
    <row r="53" spans="1:26" ht="13.2">
      <c r="A53" s="10" t="s">
        <v>117</v>
      </c>
      <c r="B53" s="10" t="s">
        <v>146</v>
      </c>
      <c r="C53" s="4"/>
      <c r="D53" s="4"/>
      <c r="E53" s="4"/>
      <c r="F53" s="4"/>
      <c r="G53" s="4"/>
      <c r="H53" s="4"/>
      <c r="I53" s="4"/>
      <c r="J53" s="4"/>
      <c r="K53" s="4"/>
      <c r="L53" s="4"/>
      <c r="M53" s="4"/>
      <c r="N53" s="4"/>
      <c r="O53" s="4"/>
      <c r="P53" s="4"/>
      <c r="Q53" s="4"/>
      <c r="R53" s="4"/>
      <c r="S53" s="4"/>
      <c r="T53" s="4"/>
      <c r="U53" s="4"/>
      <c r="V53" s="4"/>
      <c r="W53" s="4"/>
      <c r="X53" s="4"/>
      <c r="Y53" s="4"/>
      <c r="Z53" s="4"/>
    </row>
    <row r="54" spans="1:26" ht="13.2">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2">
      <c r="A55" s="10" t="s">
        <v>115</v>
      </c>
      <c r="B55" s="10" t="s">
        <v>148</v>
      </c>
      <c r="F55" s="4"/>
      <c r="G55" s="4"/>
      <c r="H55" s="4"/>
      <c r="I55" s="4"/>
      <c r="J55" s="4"/>
      <c r="K55" s="4"/>
      <c r="L55" s="4"/>
      <c r="M55" s="4"/>
      <c r="N55" s="4"/>
      <c r="O55" s="4"/>
      <c r="P55" s="4"/>
      <c r="Q55" s="4"/>
      <c r="R55" s="4"/>
      <c r="S55" s="4"/>
      <c r="T55" s="4"/>
      <c r="U55" s="4"/>
      <c r="V55" s="4"/>
      <c r="W55" s="4"/>
      <c r="X55" s="4"/>
      <c r="Y55" s="4"/>
      <c r="Z55" s="4"/>
    </row>
    <row r="56" spans="1:26" ht="13.2">
      <c r="A56" s="10" t="s">
        <v>117</v>
      </c>
      <c r="B56" s="10" t="s">
        <v>149</v>
      </c>
      <c r="C56" s="10"/>
      <c r="D56" s="10"/>
      <c r="E56" s="10"/>
      <c r="F56" s="4"/>
      <c r="G56" s="4"/>
      <c r="H56" s="4"/>
      <c r="I56" s="4"/>
      <c r="J56" s="4"/>
      <c r="K56" s="4"/>
      <c r="L56" s="4"/>
      <c r="M56" s="4"/>
      <c r="N56" s="4"/>
      <c r="O56" s="4"/>
      <c r="P56" s="4"/>
      <c r="Q56" s="4"/>
      <c r="R56" s="4"/>
      <c r="S56" s="4"/>
      <c r="T56" s="4"/>
      <c r="U56" s="4"/>
      <c r="V56" s="4"/>
      <c r="W56" s="4"/>
      <c r="X56" s="4"/>
      <c r="Y56" s="4"/>
      <c r="Z56" s="4"/>
    </row>
    <row r="57" spans="1:26" ht="13.2">
      <c r="A57" s="8" t="s">
        <v>44</v>
      </c>
      <c r="B57" s="8" t="s">
        <v>46</v>
      </c>
      <c r="C57" s="8" t="s">
        <v>150</v>
      </c>
      <c r="D57" s="8" t="s">
        <v>48</v>
      </c>
      <c r="E57" s="8" t="s">
        <v>9</v>
      </c>
      <c r="F57" s="4"/>
      <c r="G57" s="4"/>
      <c r="H57" s="4"/>
      <c r="I57" s="4"/>
      <c r="J57" s="4"/>
      <c r="K57" s="4"/>
      <c r="L57" s="4"/>
      <c r="M57" s="4"/>
      <c r="N57" s="4"/>
      <c r="O57" s="4"/>
      <c r="P57" s="4"/>
      <c r="Q57" s="4"/>
      <c r="R57" s="4"/>
      <c r="S57" s="4"/>
      <c r="T57" s="4"/>
      <c r="U57" s="4"/>
      <c r="V57" s="4"/>
      <c r="W57" s="4"/>
      <c r="X57" s="4"/>
      <c r="Y57" s="4"/>
      <c r="Z57" s="4"/>
    </row>
    <row r="58" spans="1:26" ht="13.2">
      <c r="A58" s="10"/>
      <c r="B58" s="10" t="s">
        <v>153</v>
      </c>
      <c r="C58" s="10">
        <v>2000</v>
      </c>
      <c r="D58" s="10">
        <v>8</v>
      </c>
      <c r="E58" s="10">
        <v>16000</v>
      </c>
      <c r="F58" s="4"/>
      <c r="G58" s="4"/>
      <c r="H58" s="4"/>
      <c r="I58" s="4"/>
      <c r="J58" s="4"/>
      <c r="K58" s="4"/>
      <c r="L58" s="4"/>
      <c r="M58" s="4"/>
      <c r="N58" s="4"/>
      <c r="O58" s="4"/>
      <c r="P58" s="4"/>
      <c r="Q58" s="4"/>
      <c r="R58" s="4"/>
      <c r="S58" s="4"/>
      <c r="T58" s="4"/>
      <c r="U58" s="4"/>
      <c r="V58" s="4"/>
      <c r="W58" s="4"/>
      <c r="X58" s="4"/>
      <c r="Y58" s="4"/>
      <c r="Z58" s="4"/>
    </row>
    <row r="59" spans="1:26" ht="13.2">
      <c r="A59" s="4"/>
      <c r="B59" s="8" t="s">
        <v>5</v>
      </c>
      <c r="C59" s="8"/>
      <c r="D59" s="8"/>
      <c r="E59" s="8">
        <v>16000</v>
      </c>
      <c r="F59" s="4"/>
      <c r="G59" s="4"/>
      <c r="H59" s="4"/>
      <c r="I59" s="4"/>
      <c r="J59" s="4"/>
      <c r="K59" s="4"/>
      <c r="L59" s="4"/>
      <c r="M59" s="4"/>
      <c r="N59" s="4"/>
      <c r="O59" s="4"/>
      <c r="P59" s="4"/>
      <c r="Q59" s="4"/>
      <c r="R59" s="4"/>
      <c r="S59" s="4"/>
      <c r="T59" s="4"/>
      <c r="U59" s="4"/>
      <c r="V59" s="4"/>
      <c r="W59" s="4"/>
      <c r="X59" s="4"/>
      <c r="Y59" s="4"/>
      <c r="Z59" s="4"/>
    </row>
    <row r="60" spans="1:26" ht="13.2">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c r="A61" s="2"/>
      <c r="B61" s="4"/>
      <c r="C61" s="4"/>
      <c r="D61" s="4"/>
      <c r="E61" s="4"/>
      <c r="F61" s="4"/>
      <c r="G61" s="4"/>
      <c r="H61" s="4"/>
      <c r="I61" s="4"/>
      <c r="J61" s="4"/>
      <c r="K61" s="4"/>
      <c r="L61" s="4"/>
      <c r="M61" s="4"/>
      <c r="N61" s="4"/>
      <c r="O61" s="4"/>
      <c r="P61" s="4"/>
      <c r="Q61" s="4"/>
      <c r="R61" s="4"/>
      <c r="S61" s="4"/>
      <c r="T61" s="4"/>
      <c r="U61" s="4"/>
      <c r="V61" s="4"/>
      <c r="W61" s="4"/>
      <c r="X61" s="4"/>
      <c r="Y61" s="4"/>
      <c r="Z61" s="4"/>
    </row>
    <row r="62" spans="1:26" ht="13.2">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c r="A65" s="2"/>
      <c r="B65" s="4"/>
      <c r="C65" s="4"/>
      <c r="D65" s="4"/>
      <c r="E65" s="4"/>
      <c r="F65" s="4"/>
      <c r="G65" s="4"/>
      <c r="H65" s="4"/>
      <c r="I65" s="4"/>
      <c r="J65" s="4"/>
      <c r="K65" s="4"/>
      <c r="L65" s="4"/>
      <c r="M65" s="4"/>
      <c r="N65" s="4"/>
      <c r="O65" s="4"/>
      <c r="P65" s="4"/>
      <c r="Q65" s="4"/>
      <c r="R65" s="4"/>
      <c r="S65" s="4"/>
      <c r="T65" s="4"/>
      <c r="U65" s="4"/>
      <c r="V65" s="4"/>
      <c r="W65" s="4"/>
      <c r="X65" s="4"/>
      <c r="Y65" s="4"/>
      <c r="Z65" s="4"/>
    </row>
    <row r="66" spans="1:26" ht="13.2">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42.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sheetData>
  <mergeCells count="3">
    <mergeCell ref="A23:F23"/>
    <mergeCell ref="A28:F28"/>
    <mergeCell ref="A31:F31"/>
  </mergeCells>
  <hyperlinks>
    <hyperlink ref="F25" r:id="rId1"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133"/>
  <sheetViews>
    <sheetView topLeftCell="A167" workbookViewId="0"/>
  </sheetViews>
  <sheetFormatPr defaultColWidth="12.6640625" defaultRowHeight="15.75" customHeight="1"/>
  <cols>
    <col min="1" max="1" width="19.77734375" customWidth="1"/>
    <col min="2" max="2" width="68.21875" customWidth="1"/>
    <col min="3" max="3" width="21.88671875" customWidth="1"/>
    <col min="6" max="6" width="21.6640625" customWidth="1"/>
  </cols>
  <sheetData>
    <row r="1" spans="1:26" ht="13.2">
      <c r="A1" s="2" t="s">
        <v>1</v>
      </c>
      <c r="B1" s="4"/>
      <c r="C1" s="4"/>
      <c r="D1" s="4"/>
      <c r="E1" s="4"/>
      <c r="F1" s="4"/>
      <c r="G1" s="4"/>
      <c r="H1" s="4"/>
      <c r="I1" s="4"/>
      <c r="J1" s="4"/>
      <c r="K1" s="4"/>
      <c r="L1" s="4"/>
      <c r="M1" s="4"/>
      <c r="N1" s="4"/>
      <c r="O1" s="4"/>
      <c r="P1" s="4"/>
      <c r="Q1" s="4"/>
      <c r="R1" s="4"/>
      <c r="S1" s="4"/>
      <c r="T1" s="4"/>
      <c r="U1" s="4"/>
      <c r="V1" s="4"/>
      <c r="W1" s="4"/>
      <c r="X1" s="4"/>
      <c r="Y1" s="4"/>
      <c r="Z1" s="4"/>
    </row>
    <row r="2" spans="1:26" ht="13.2">
      <c r="A2" s="8" t="s">
        <v>2</v>
      </c>
      <c r="B2" s="8" t="s">
        <v>9</v>
      </c>
      <c r="C2" s="4"/>
      <c r="D2" s="4"/>
      <c r="E2" s="4"/>
      <c r="F2" s="4"/>
      <c r="G2" s="4"/>
      <c r="H2" s="4"/>
      <c r="I2" s="4"/>
      <c r="J2" s="4"/>
      <c r="K2" s="4"/>
      <c r="L2" s="4"/>
      <c r="M2" s="4"/>
      <c r="N2" s="4"/>
      <c r="O2" s="4"/>
      <c r="P2" s="4"/>
      <c r="Q2" s="4"/>
      <c r="R2" s="4"/>
      <c r="S2" s="4"/>
      <c r="T2" s="4"/>
      <c r="U2" s="4"/>
      <c r="V2" s="4"/>
      <c r="W2" s="4"/>
      <c r="X2" s="4"/>
      <c r="Y2" s="4"/>
      <c r="Z2" s="4"/>
    </row>
    <row r="3" spans="1:26" ht="13.2">
      <c r="A3" s="10" t="s">
        <v>3</v>
      </c>
      <c r="B3" s="10">
        <f>E78</f>
        <v>126643</v>
      </c>
      <c r="C3" s="4"/>
      <c r="D3" s="4"/>
      <c r="E3" s="4"/>
      <c r="F3" s="4"/>
      <c r="G3" s="4"/>
      <c r="H3" s="4"/>
      <c r="I3" s="4"/>
      <c r="J3" s="4"/>
      <c r="K3" s="4"/>
      <c r="L3" s="4"/>
      <c r="M3" s="4"/>
      <c r="N3" s="4"/>
      <c r="O3" s="4"/>
      <c r="P3" s="4"/>
      <c r="Q3" s="4"/>
      <c r="R3" s="4"/>
      <c r="S3" s="4"/>
      <c r="T3" s="4"/>
      <c r="U3" s="4"/>
      <c r="V3" s="4"/>
      <c r="W3" s="4"/>
      <c r="X3" s="4"/>
      <c r="Y3" s="4"/>
      <c r="Z3" s="4"/>
    </row>
    <row r="4" spans="1:26" ht="13.2">
      <c r="A4" s="10" t="s">
        <v>4</v>
      </c>
      <c r="B4" s="10">
        <f>E183</f>
        <v>265650</v>
      </c>
      <c r="C4" s="4"/>
      <c r="D4" s="4"/>
      <c r="E4" s="4"/>
      <c r="F4" s="4"/>
      <c r="G4" s="4"/>
      <c r="H4" s="4"/>
      <c r="I4" s="4"/>
      <c r="J4" s="4"/>
      <c r="K4" s="4"/>
      <c r="L4" s="4"/>
      <c r="M4" s="4"/>
      <c r="N4" s="4"/>
      <c r="O4" s="4"/>
      <c r="P4" s="4"/>
      <c r="Q4" s="4"/>
      <c r="R4" s="4"/>
      <c r="S4" s="4"/>
      <c r="T4" s="4"/>
      <c r="U4" s="4"/>
      <c r="V4" s="4"/>
      <c r="W4" s="4"/>
      <c r="X4" s="4"/>
      <c r="Y4" s="4"/>
      <c r="Z4" s="4"/>
    </row>
    <row r="5" spans="1:26" ht="13.2">
      <c r="A5" s="8" t="s">
        <v>5</v>
      </c>
      <c r="B5" s="10">
        <f>SUM(B3:B4)</f>
        <v>392293</v>
      </c>
      <c r="C5" s="4"/>
      <c r="D5" s="4"/>
      <c r="E5" s="4"/>
      <c r="F5" s="4"/>
      <c r="G5" s="4"/>
      <c r="H5" s="4"/>
      <c r="I5" s="4"/>
      <c r="J5" s="4"/>
      <c r="K5" s="4"/>
      <c r="L5" s="4"/>
      <c r="M5" s="4"/>
      <c r="N5" s="4"/>
      <c r="O5" s="4"/>
      <c r="P5" s="4"/>
      <c r="Q5" s="4"/>
      <c r="R5" s="4"/>
      <c r="S5" s="4"/>
      <c r="T5" s="4"/>
      <c r="U5" s="4"/>
      <c r="V5" s="4"/>
      <c r="W5" s="4"/>
      <c r="X5" s="4"/>
      <c r="Y5" s="4"/>
      <c r="Z5" s="4"/>
    </row>
    <row r="6" spans="1:26" ht="13.2">
      <c r="A6" s="2"/>
      <c r="B6" s="4"/>
      <c r="C6" s="4"/>
      <c r="D6" s="4"/>
      <c r="E6" s="4"/>
      <c r="F6" s="4"/>
      <c r="G6" s="4"/>
      <c r="H6" s="4"/>
      <c r="I6" s="4"/>
      <c r="J6" s="4"/>
      <c r="K6" s="4"/>
      <c r="L6" s="4"/>
      <c r="M6" s="4"/>
      <c r="N6" s="4"/>
      <c r="O6" s="4"/>
      <c r="P6" s="4"/>
      <c r="Q6" s="4"/>
      <c r="R6" s="4"/>
      <c r="S6" s="4"/>
      <c r="T6" s="4"/>
      <c r="U6" s="4"/>
      <c r="V6" s="4"/>
      <c r="W6" s="4"/>
      <c r="X6" s="4"/>
      <c r="Y6" s="4"/>
      <c r="Z6" s="4"/>
    </row>
    <row r="7" spans="1:26" ht="13.2">
      <c r="A7" s="2" t="s">
        <v>14</v>
      </c>
      <c r="B7" s="4"/>
      <c r="C7" s="4"/>
      <c r="D7" s="4"/>
      <c r="E7" s="4"/>
      <c r="F7" s="4"/>
      <c r="G7" s="4"/>
      <c r="H7" s="4"/>
      <c r="I7" s="4"/>
      <c r="J7" s="4"/>
      <c r="K7" s="4"/>
      <c r="L7" s="4"/>
      <c r="M7" s="4"/>
      <c r="N7" s="4"/>
      <c r="O7" s="4"/>
      <c r="P7" s="4"/>
      <c r="Q7" s="4"/>
      <c r="R7" s="4"/>
      <c r="S7" s="4"/>
      <c r="T7" s="4"/>
      <c r="U7" s="4"/>
      <c r="V7" s="4"/>
      <c r="W7" s="4"/>
      <c r="X7" s="4"/>
      <c r="Y7" s="4"/>
      <c r="Z7" s="4"/>
    </row>
    <row r="8" spans="1:26" ht="13.2">
      <c r="A8" s="10" t="s">
        <v>260</v>
      </c>
      <c r="B8" s="10" t="s">
        <v>261</v>
      </c>
      <c r="C8" s="4" t="s">
        <v>262</v>
      </c>
      <c r="D8" s="4"/>
      <c r="E8" s="4"/>
      <c r="F8" s="4"/>
      <c r="G8" s="4"/>
      <c r="H8" s="4"/>
      <c r="I8" s="4"/>
      <c r="J8" s="4"/>
      <c r="K8" s="4"/>
      <c r="L8" s="4"/>
      <c r="M8" s="4"/>
      <c r="N8" s="4"/>
      <c r="O8" s="4"/>
      <c r="P8" s="4"/>
      <c r="Q8" s="4"/>
      <c r="R8" s="4"/>
      <c r="S8" s="4"/>
      <c r="T8" s="4"/>
      <c r="U8" s="4"/>
      <c r="V8" s="4"/>
      <c r="W8" s="4"/>
      <c r="X8" s="4"/>
      <c r="Y8" s="4"/>
      <c r="Z8" s="4"/>
    </row>
    <row r="9" spans="1:26" ht="13.2">
      <c r="A9" s="10" t="s">
        <v>263</v>
      </c>
      <c r="B9" s="10" t="s">
        <v>264</v>
      </c>
      <c r="C9" s="4"/>
      <c r="D9" s="4"/>
      <c r="E9" s="4"/>
      <c r="F9" s="4"/>
      <c r="G9" s="4"/>
      <c r="H9" s="4"/>
      <c r="I9" s="4"/>
      <c r="J9" s="4"/>
      <c r="K9" s="4"/>
      <c r="L9" s="4"/>
      <c r="M9" s="4"/>
      <c r="N9" s="4"/>
      <c r="O9" s="4"/>
      <c r="P9" s="4"/>
      <c r="Q9" s="4"/>
      <c r="R9" s="4"/>
      <c r="S9" s="4"/>
      <c r="T9" s="4"/>
      <c r="U9" s="4"/>
      <c r="V9" s="4"/>
      <c r="W9" s="4"/>
      <c r="X9" s="4"/>
      <c r="Y9" s="4"/>
      <c r="Z9" s="4"/>
    </row>
    <row r="10" spans="1:26" ht="13.2">
      <c r="A10" s="10" t="s">
        <v>265</v>
      </c>
      <c r="B10" s="10" t="s">
        <v>266</v>
      </c>
      <c r="C10" s="4"/>
      <c r="D10" s="4"/>
      <c r="E10" s="4"/>
      <c r="F10" s="4"/>
      <c r="G10" s="4"/>
      <c r="H10" s="4"/>
      <c r="I10" s="4"/>
      <c r="J10" s="4"/>
      <c r="K10" s="4"/>
      <c r="L10" s="4"/>
      <c r="M10" s="4"/>
      <c r="N10" s="4"/>
      <c r="O10" s="4"/>
      <c r="P10" s="4"/>
      <c r="Q10" s="4"/>
      <c r="R10" s="4"/>
      <c r="S10" s="4"/>
      <c r="T10" s="4"/>
      <c r="U10" s="4"/>
      <c r="V10" s="4"/>
      <c r="W10" s="4"/>
      <c r="X10" s="4"/>
      <c r="Y10" s="4"/>
      <c r="Z10" s="4"/>
    </row>
    <row r="11" spans="1:26" ht="13.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3.2">
      <c r="A12" s="10" t="s">
        <v>267</v>
      </c>
      <c r="B12" s="10" t="s">
        <v>268</v>
      </c>
      <c r="C12" s="4" t="s">
        <v>269</v>
      </c>
      <c r="D12" s="4"/>
      <c r="E12" s="4"/>
      <c r="F12" s="4"/>
      <c r="G12" s="4"/>
      <c r="H12" s="4"/>
      <c r="I12" s="4"/>
      <c r="J12" s="4"/>
      <c r="K12" s="4"/>
      <c r="L12" s="4"/>
      <c r="M12" s="4"/>
      <c r="N12" s="4"/>
      <c r="O12" s="4"/>
      <c r="P12" s="4"/>
      <c r="Q12" s="4"/>
      <c r="R12" s="4"/>
      <c r="S12" s="4"/>
      <c r="T12" s="4"/>
      <c r="U12" s="4"/>
      <c r="V12" s="4"/>
      <c r="W12" s="4"/>
      <c r="X12" s="4"/>
      <c r="Y12" s="4"/>
      <c r="Z12" s="4"/>
    </row>
    <row r="13" spans="1:26" ht="13.2">
      <c r="A13" s="10" t="s">
        <v>263</v>
      </c>
      <c r="B13" s="10" t="s">
        <v>270</v>
      </c>
      <c r="C13" s="4"/>
      <c r="D13" s="4"/>
      <c r="E13" s="4"/>
      <c r="F13" s="4"/>
      <c r="G13" s="4"/>
      <c r="H13" s="4"/>
      <c r="I13" s="4"/>
      <c r="J13" s="4"/>
      <c r="K13" s="4"/>
      <c r="L13" s="4"/>
      <c r="M13" s="4"/>
      <c r="N13" s="4"/>
      <c r="O13" s="4"/>
      <c r="P13" s="4"/>
      <c r="Q13" s="4"/>
      <c r="R13" s="4"/>
      <c r="S13" s="4"/>
      <c r="T13" s="4"/>
      <c r="U13" s="4"/>
      <c r="V13" s="4"/>
      <c r="W13" s="4"/>
      <c r="X13" s="4"/>
      <c r="Y13" s="4"/>
      <c r="Z13" s="4"/>
    </row>
    <row r="14" spans="1:26" ht="13.2">
      <c r="A14" s="10" t="s">
        <v>265</v>
      </c>
      <c r="B14" s="10" t="s">
        <v>266</v>
      </c>
      <c r="C14" s="4"/>
      <c r="D14" s="4"/>
      <c r="E14" s="4"/>
      <c r="F14" s="4"/>
      <c r="G14" s="4"/>
      <c r="H14" s="4"/>
      <c r="I14" s="4"/>
      <c r="J14" s="4"/>
      <c r="K14" s="4"/>
      <c r="L14" s="4"/>
      <c r="M14" s="4"/>
      <c r="N14" s="4"/>
      <c r="O14" s="4"/>
      <c r="P14" s="4"/>
      <c r="Q14" s="4"/>
      <c r="R14" s="4"/>
      <c r="S14" s="4"/>
      <c r="T14" s="4"/>
      <c r="U14" s="4"/>
      <c r="V14" s="4"/>
      <c r="W14" s="4"/>
      <c r="X14" s="4"/>
      <c r="Y14" s="4"/>
      <c r="Z14" s="4"/>
    </row>
    <row r="15" spans="1:26" ht="13.2">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2">
      <c r="A16" s="10" t="s">
        <v>271</v>
      </c>
      <c r="B16" s="10" t="s">
        <v>272</v>
      </c>
      <c r="C16" s="4" t="s">
        <v>273</v>
      </c>
      <c r="D16" s="4"/>
      <c r="E16" s="4"/>
      <c r="F16" s="4"/>
      <c r="G16" s="4"/>
      <c r="H16" s="4"/>
      <c r="I16" s="4"/>
      <c r="J16" s="4"/>
      <c r="K16" s="4"/>
      <c r="L16" s="4"/>
      <c r="M16" s="4"/>
      <c r="N16" s="4"/>
      <c r="O16" s="4"/>
      <c r="P16" s="4"/>
      <c r="Q16" s="4"/>
      <c r="R16" s="4"/>
      <c r="S16" s="4"/>
      <c r="T16" s="4"/>
      <c r="U16" s="4"/>
      <c r="V16" s="4"/>
      <c r="W16" s="4"/>
      <c r="X16" s="4"/>
      <c r="Y16" s="4"/>
      <c r="Z16" s="4"/>
    </row>
    <row r="17" spans="1:26" ht="13.2">
      <c r="A17" s="10" t="s">
        <v>263</v>
      </c>
      <c r="B17" s="10" t="s">
        <v>274</v>
      </c>
      <c r="C17" s="4"/>
      <c r="D17" s="4"/>
      <c r="E17" s="4"/>
      <c r="F17" s="4"/>
      <c r="G17" s="4"/>
      <c r="H17" s="4"/>
      <c r="I17" s="4"/>
      <c r="J17" s="4"/>
      <c r="K17" s="4"/>
      <c r="L17" s="4"/>
      <c r="M17" s="4"/>
      <c r="N17" s="4"/>
      <c r="O17" s="4"/>
      <c r="P17" s="4"/>
      <c r="Q17" s="4"/>
      <c r="R17" s="4"/>
      <c r="S17" s="4"/>
      <c r="T17" s="4"/>
      <c r="U17" s="4"/>
      <c r="V17" s="4"/>
      <c r="W17" s="4"/>
      <c r="X17" s="4"/>
      <c r="Y17" s="4"/>
      <c r="Z17" s="4"/>
    </row>
    <row r="18" spans="1:26" ht="13.2">
      <c r="A18" s="10" t="s">
        <v>265</v>
      </c>
      <c r="B18" s="10" t="s">
        <v>275</v>
      </c>
      <c r="C18" s="4"/>
      <c r="D18" s="4"/>
      <c r="E18" s="4"/>
      <c r="F18" s="4"/>
      <c r="G18" s="4"/>
      <c r="H18" s="4"/>
      <c r="I18" s="4"/>
      <c r="J18" s="4"/>
      <c r="K18" s="4"/>
      <c r="L18" s="4"/>
      <c r="M18" s="4"/>
      <c r="N18" s="4"/>
      <c r="O18" s="4"/>
      <c r="P18" s="4"/>
      <c r="Q18" s="4"/>
      <c r="R18" s="4"/>
      <c r="S18" s="4"/>
      <c r="T18" s="4"/>
      <c r="U18" s="4"/>
      <c r="V18" s="4"/>
      <c r="W18" s="4"/>
      <c r="X18" s="4"/>
      <c r="Y18" s="4"/>
      <c r="Z18" s="4"/>
    </row>
    <row r="19" spans="1:26" ht="13.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2">
      <c r="A20" s="10" t="s">
        <v>276</v>
      </c>
      <c r="B20" s="10" t="s">
        <v>277</v>
      </c>
      <c r="C20" s="4" t="s">
        <v>278</v>
      </c>
      <c r="D20" s="4"/>
      <c r="E20" s="4"/>
      <c r="F20" s="4"/>
      <c r="G20" s="4"/>
      <c r="H20" s="4"/>
      <c r="I20" s="4"/>
      <c r="J20" s="4"/>
      <c r="K20" s="4"/>
      <c r="L20" s="4"/>
      <c r="M20" s="4"/>
      <c r="N20" s="4"/>
      <c r="O20" s="4"/>
      <c r="P20" s="4"/>
      <c r="Q20" s="4"/>
      <c r="R20" s="4"/>
      <c r="S20" s="4"/>
      <c r="T20" s="4"/>
      <c r="U20" s="4"/>
      <c r="V20" s="4"/>
      <c r="W20" s="4"/>
      <c r="X20" s="4"/>
      <c r="Y20" s="4"/>
      <c r="Z20" s="4"/>
    </row>
    <row r="21" spans="1:26" ht="13.2">
      <c r="A21" s="10" t="s">
        <v>263</v>
      </c>
      <c r="B21" s="10" t="s">
        <v>279</v>
      </c>
      <c r="C21" s="2" t="s">
        <v>280</v>
      </c>
      <c r="D21" s="4"/>
      <c r="E21" s="4"/>
      <c r="F21" s="4"/>
      <c r="G21" s="4"/>
      <c r="H21" s="4"/>
      <c r="I21" s="4"/>
      <c r="J21" s="4"/>
      <c r="K21" s="4"/>
      <c r="L21" s="4"/>
      <c r="M21" s="4"/>
      <c r="N21" s="4"/>
      <c r="O21" s="4"/>
      <c r="P21" s="4"/>
      <c r="Q21" s="4"/>
      <c r="R21" s="4"/>
      <c r="S21" s="4"/>
      <c r="T21" s="4"/>
      <c r="U21" s="4"/>
      <c r="V21" s="4"/>
      <c r="W21" s="4"/>
      <c r="X21" s="4"/>
      <c r="Y21" s="4"/>
      <c r="Z21" s="4"/>
    </row>
    <row r="22" spans="1:26" ht="13.2">
      <c r="A22" s="10" t="s">
        <v>265</v>
      </c>
      <c r="B22" s="10" t="s">
        <v>281</v>
      </c>
      <c r="C22" s="4"/>
      <c r="D22" s="4"/>
      <c r="E22" s="4"/>
      <c r="F22" s="4"/>
      <c r="G22" s="4"/>
      <c r="H22" s="4"/>
      <c r="I22" s="4"/>
      <c r="J22" s="4"/>
      <c r="K22" s="4"/>
      <c r="L22" s="4"/>
      <c r="M22" s="4"/>
      <c r="N22" s="4"/>
      <c r="O22" s="4"/>
      <c r="P22" s="4"/>
      <c r="Q22" s="4"/>
      <c r="R22" s="4"/>
      <c r="S22" s="4"/>
      <c r="T22" s="4"/>
      <c r="U22" s="4"/>
      <c r="V22" s="4"/>
      <c r="W22" s="4"/>
      <c r="X22" s="4"/>
      <c r="Y22" s="4"/>
      <c r="Z22" s="4"/>
    </row>
    <row r="23" spans="1:26" ht="13.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2">
      <c r="A24" s="225" t="s">
        <v>34</v>
      </c>
      <c r="B24" s="226"/>
      <c r="C24" s="226"/>
      <c r="D24" s="226"/>
      <c r="E24" s="226"/>
      <c r="F24" s="227"/>
      <c r="G24" s="4"/>
      <c r="H24" s="4"/>
      <c r="I24" s="4"/>
      <c r="J24" s="4"/>
      <c r="K24" s="4"/>
      <c r="L24" s="4"/>
      <c r="M24" s="4"/>
      <c r="N24" s="4"/>
      <c r="O24" s="4"/>
      <c r="P24" s="4"/>
      <c r="Q24" s="4"/>
      <c r="R24" s="4"/>
      <c r="S24" s="4"/>
      <c r="T24" s="4"/>
      <c r="U24" s="4"/>
      <c r="V24" s="4"/>
      <c r="W24" s="4"/>
      <c r="X24" s="4"/>
      <c r="Y24" s="4"/>
      <c r="Z24" s="4"/>
    </row>
    <row r="25" spans="1:26" ht="13.2">
      <c r="A25" s="8" t="s">
        <v>44</v>
      </c>
      <c r="B25" s="8" t="s">
        <v>46</v>
      </c>
      <c r="C25" s="8" t="s">
        <v>47</v>
      </c>
      <c r="D25" s="8" t="s">
        <v>48</v>
      </c>
      <c r="E25" s="8" t="s">
        <v>9</v>
      </c>
      <c r="F25" s="8" t="s">
        <v>52</v>
      </c>
      <c r="G25" s="4"/>
      <c r="H25" s="4"/>
      <c r="I25" s="4"/>
      <c r="J25" s="4"/>
      <c r="K25" s="4"/>
      <c r="L25" s="4"/>
      <c r="M25" s="4"/>
      <c r="N25" s="4"/>
      <c r="O25" s="4"/>
      <c r="P25" s="4"/>
      <c r="Q25" s="4"/>
      <c r="R25" s="4"/>
      <c r="S25" s="4"/>
      <c r="T25" s="4"/>
      <c r="U25" s="4"/>
      <c r="V25" s="4"/>
      <c r="W25" s="4"/>
      <c r="X25" s="4"/>
      <c r="Y25" s="4"/>
      <c r="Z25" s="4"/>
    </row>
    <row r="26" spans="1:26" ht="13.2">
      <c r="A26" s="10">
        <v>1</v>
      </c>
      <c r="B26" s="52" t="s">
        <v>282</v>
      </c>
      <c r="C26" s="16">
        <v>3</v>
      </c>
      <c r="D26" s="16">
        <v>50</v>
      </c>
      <c r="E26" s="16">
        <f t="shared" ref="E26:E39" si="0">C26*D26</f>
        <v>150</v>
      </c>
      <c r="F26" s="56" t="s">
        <v>283</v>
      </c>
      <c r="G26" s="4"/>
      <c r="H26" s="4"/>
      <c r="I26" s="4"/>
      <c r="J26" s="4"/>
      <c r="K26" s="4"/>
      <c r="L26" s="4"/>
      <c r="M26" s="4"/>
      <c r="N26" s="4"/>
      <c r="O26" s="4"/>
      <c r="P26" s="4"/>
      <c r="Q26" s="4"/>
      <c r="R26" s="4"/>
      <c r="S26" s="4"/>
      <c r="T26" s="4"/>
      <c r="U26" s="4"/>
      <c r="V26" s="4"/>
      <c r="W26" s="4"/>
      <c r="X26" s="4"/>
      <c r="Y26" s="4"/>
      <c r="Z26" s="4"/>
    </row>
    <row r="27" spans="1:26" ht="13.2">
      <c r="A27" s="10">
        <v>2</v>
      </c>
      <c r="B27" s="52" t="s">
        <v>284</v>
      </c>
      <c r="C27" s="16">
        <v>2</v>
      </c>
      <c r="D27" s="16">
        <v>100</v>
      </c>
      <c r="E27" s="16">
        <f t="shared" si="0"/>
        <v>200</v>
      </c>
      <c r="F27" s="52"/>
      <c r="G27" s="4"/>
      <c r="H27" s="4"/>
      <c r="I27" s="4"/>
      <c r="J27" s="4"/>
      <c r="K27" s="4"/>
      <c r="L27" s="4"/>
      <c r="M27" s="4"/>
      <c r="N27" s="4"/>
      <c r="O27" s="4"/>
      <c r="P27" s="4"/>
      <c r="Q27" s="4"/>
      <c r="R27" s="4"/>
      <c r="S27" s="4"/>
      <c r="T27" s="4"/>
      <c r="U27" s="4"/>
      <c r="V27" s="4"/>
      <c r="W27" s="4"/>
      <c r="X27" s="4"/>
      <c r="Y27" s="4"/>
      <c r="Z27" s="4"/>
    </row>
    <row r="28" spans="1:26" ht="13.2">
      <c r="A28" s="10">
        <v>3</v>
      </c>
      <c r="B28" s="52" t="s">
        <v>285</v>
      </c>
      <c r="C28" s="16">
        <v>3</v>
      </c>
      <c r="D28" s="16">
        <v>160</v>
      </c>
      <c r="E28" s="16">
        <f t="shared" si="0"/>
        <v>480</v>
      </c>
      <c r="F28" s="56" t="s">
        <v>283</v>
      </c>
      <c r="G28" s="4"/>
      <c r="H28" s="4"/>
      <c r="I28" s="4"/>
      <c r="J28" s="4"/>
      <c r="K28" s="4"/>
      <c r="L28" s="4"/>
      <c r="M28" s="4"/>
      <c r="N28" s="4"/>
      <c r="O28" s="4"/>
      <c r="P28" s="4"/>
      <c r="Q28" s="4"/>
      <c r="R28" s="4"/>
      <c r="S28" s="4"/>
      <c r="T28" s="4"/>
      <c r="U28" s="4"/>
      <c r="V28" s="4"/>
      <c r="W28" s="4"/>
      <c r="X28" s="4"/>
      <c r="Y28" s="4"/>
      <c r="Z28" s="4"/>
    </row>
    <row r="29" spans="1:26" ht="13.2">
      <c r="A29" s="10">
        <v>4</v>
      </c>
      <c r="B29" s="52" t="s">
        <v>299</v>
      </c>
      <c r="C29" s="16">
        <v>5</v>
      </c>
      <c r="D29" s="16">
        <v>70</v>
      </c>
      <c r="E29" s="16">
        <f t="shared" si="0"/>
        <v>350</v>
      </c>
      <c r="F29" s="56" t="s">
        <v>283</v>
      </c>
      <c r="G29" s="4"/>
      <c r="H29" s="4"/>
      <c r="I29" s="4"/>
      <c r="J29" s="4"/>
      <c r="K29" s="4"/>
      <c r="L29" s="4"/>
      <c r="M29" s="4"/>
      <c r="N29" s="4"/>
      <c r="O29" s="4"/>
      <c r="P29" s="4"/>
      <c r="Q29" s="4"/>
      <c r="R29" s="4"/>
      <c r="S29" s="4"/>
      <c r="T29" s="4"/>
      <c r="U29" s="4"/>
      <c r="V29" s="4"/>
      <c r="W29" s="4"/>
      <c r="X29" s="4"/>
      <c r="Y29" s="4"/>
      <c r="Z29" s="4"/>
    </row>
    <row r="30" spans="1:26" ht="13.2">
      <c r="A30" s="10">
        <v>5</v>
      </c>
      <c r="B30" s="52" t="s">
        <v>308</v>
      </c>
      <c r="C30" s="16">
        <v>10</v>
      </c>
      <c r="D30" s="16">
        <v>60</v>
      </c>
      <c r="E30" s="16">
        <f t="shared" si="0"/>
        <v>600</v>
      </c>
      <c r="F30" s="56" t="s">
        <v>283</v>
      </c>
      <c r="G30" s="4"/>
      <c r="H30" s="4"/>
      <c r="I30" s="4"/>
      <c r="J30" s="4"/>
      <c r="K30" s="4"/>
      <c r="L30" s="4"/>
      <c r="M30" s="4"/>
      <c r="N30" s="4"/>
      <c r="O30" s="4"/>
      <c r="P30" s="4"/>
      <c r="Q30" s="4"/>
      <c r="R30" s="4"/>
      <c r="S30" s="4"/>
      <c r="T30" s="4"/>
      <c r="U30" s="4"/>
      <c r="V30" s="4"/>
      <c r="W30" s="4"/>
      <c r="X30" s="4"/>
      <c r="Y30" s="4"/>
      <c r="Z30" s="4"/>
    </row>
    <row r="31" spans="1:26" ht="13.2">
      <c r="A31" s="10">
        <v>6</v>
      </c>
      <c r="B31" s="52" t="s">
        <v>316</v>
      </c>
      <c r="C31" s="16">
        <v>2</v>
      </c>
      <c r="D31" s="16">
        <v>300</v>
      </c>
      <c r="E31" s="16">
        <f t="shared" si="0"/>
        <v>600</v>
      </c>
      <c r="F31" s="52"/>
      <c r="G31" s="4"/>
      <c r="H31" s="4"/>
      <c r="I31" s="4"/>
      <c r="J31" s="4"/>
      <c r="K31" s="4"/>
      <c r="L31" s="4"/>
      <c r="M31" s="4"/>
      <c r="N31" s="4"/>
      <c r="O31" s="4"/>
      <c r="P31" s="4"/>
      <c r="Q31" s="4"/>
      <c r="R31" s="4"/>
      <c r="S31" s="4"/>
      <c r="T31" s="4"/>
      <c r="U31" s="4"/>
      <c r="V31" s="4"/>
      <c r="W31" s="4"/>
      <c r="X31" s="4"/>
      <c r="Y31" s="4"/>
      <c r="Z31" s="4"/>
    </row>
    <row r="32" spans="1:26" ht="13.2">
      <c r="A32" s="10">
        <v>7</v>
      </c>
      <c r="B32" s="66" t="s">
        <v>320</v>
      </c>
      <c r="C32" s="67">
        <v>20</v>
      </c>
      <c r="D32" s="67">
        <v>10</v>
      </c>
      <c r="E32" s="67">
        <f t="shared" si="0"/>
        <v>200</v>
      </c>
      <c r="F32" s="68" t="s">
        <v>283</v>
      </c>
      <c r="G32" s="4"/>
      <c r="H32" s="4"/>
      <c r="I32" s="4"/>
      <c r="J32" s="4"/>
      <c r="K32" s="4"/>
      <c r="L32" s="4"/>
      <c r="M32" s="4"/>
      <c r="N32" s="4"/>
      <c r="O32" s="4"/>
      <c r="P32" s="4"/>
      <c r="Q32" s="4"/>
      <c r="R32" s="4"/>
      <c r="S32" s="4"/>
      <c r="T32" s="4"/>
      <c r="U32" s="4"/>
      <c r="V32" s="4"/>
      <c r="W32" s="4"/>
      <c r="X32" s="4"/>
      <c r="Y32" s="4"/>
      <c r="Z32" s="4"/>
    </row>
    <row r="33" spans="1:26" ht="13.2">
      <c r="A33" s="10">
        <v>8</v>
      </c>
      <c r="B33" s="66" t="s">
        <v>326</v>
      </c>
      <c r="C33" s="67">
        <v>20</v>
      </c>
      <c r="D33" s="67">
        <v>10</v>
      </c>
      <c r="E33" s="67">
        <f t="shared" si="0"/>
        <v>200</v>
      </c>
      <c r="F33" s="68" t="s">
        <v>283</v>
      </c>
      <c r="G33" s="4"/>
      <c r="H33" s="4"/>
      <c r="I33" s="4"/>
      <c r="J33" s="4"/>
      <c r="K33" s="4"/>
      <c r="L33" s="4"/>
      <c r="M33" s="4"/>
      <c r="N33" s="4"/>
      <c r="O33" s="4"/>
      <c r="P33" s="4"/>
      <c r="Q33" s="4"/>
      <c r="R33" s="4"/>
      <c r="S33" s="4"/>
      <c r="T33" s="4"/>
      <c r="U33" s="4"/>
      <c r="V33" s="4"/>
      <c r="W33" s="4"/>
      <c r="X33" s="4"/>
      <c r="Y33" s="4"/>
      <c r="Z33" s="4"/>
    </row>
    <row r="34" spans="1:26" ht="13.2">
      <c r="A34" s="10">
        <v>9</v>
      </c>
      <c r="B34" s="66" t="s">
        <v>343</v>
      </c>
      <c r="C34" s="67">
        <v>10</v>
      </c>
      <c r="D34" s="67">
        <v>30</v>
      </c>
      <c r="E34" s="67">
        <f t="shared" si="0"/>
        <v>300</v>
      </c>
      <c r="F34" s="68" t="s">
        <v>283</v>
      </c>
      <c r="G34" s="4"/>
      <c r="H34" s="4"/>
      <c r="I34" s="4"/>
      <c r="J34" s="4"/>
      <c r="K34" s="4"/>
      <c r="L34" s="4"/>
      <c r="M34" s="4"/>
      <c r="N34" s="4"/>
      <c r="O34" s="4"/>
      <c r="P34" s="4"/>
      <c r="Q34" s="4"/>
      <c r="R34" s="4"/>
      <c r="S34" s="4"/>
      <c r="T34" s="4"/>
      <c r="U34" s="4"/>
      <c r="V34" s="4"/>
      <c r="W34" s="4"/>
      <c r="X34" s="4"/>
      <c r="Y34" s="4"/>
      <c r="Z34" s="4"/>
    </row>
    <row r="35" spans="1:26" ht="13.2">
      <c r="A35" s="10">
        <v>10</v>
      </c>
      <c r="B35" s="66" t="s">
        <v>358</v>
      </c>
      <c r="C35" s="67">
        <v>10</v>
      </c>
      <c r="D35" s="67">
        <v>50</v>
      </c>
      <c r="E35" s="67">
        <f t="shared" si="0"/>
        <v>500</v>
      </c>
      <c r="F35" s="66"/>
      <c r="G35" s="4"/>
      <c r="H35" s="4"/>
      <c r="I35" s="4"/>
      <c r="J35" s="4"/>
      <c r="K35" s="4"/>
      <c r="L35" s="4"/>
      <c r="M35" s="4"/>
      <c r="N35" s="4"/>
      <c r="O35" s="4"/>
      <c r="P35" s="4"/>
      <c r="Q35" s="4"/>
      <c r="R35" s="4"/>
      <c r="S35" s="4"/>
      <c r="T35" s="4"/>
      <c r="U35" s="4"/>
      <c r="V35" s="4"/>
      <c r="W35" s="4"/>
      <c r="X35" s="4"/>
      <c r="Y35" s="4"/>
      <c r="Z35" s="4"/>
    </row>
    <row r="36" spans="1:26" ht="13.2">
      <c r="A36" s="10">
        <v>11</v>
      </c>
      <c r="B36" s="66" t="s">
        <v>360</v>
      </c>
      <c r="C36" s="67">
        <v>3</v>
      </c>
      <c r="D36" s="67">
        <v>150</v>
      </c>
      <c r="E36" s="67">
        <f t="shared" si="0"/>
        <v>450</v>
      </c>
      <c r="F36" s="68" t="s">
        <v>283</v>
      </c>
      <c r="G36" s="4"/>
      <c r="H36" s="4"/>
      <c r="I36" s="4"/>
      <c r="J36" s="4"/>
      <c r="K36" s="4"/>
      <c r="L36" s="4"/>
      <c r="M36" s="4"/>
      <c r="N36" s="4"/>
      <c r="O36" s="4"/>
      <c r="P36" s="4"/>
      <c r="Q36" s="4"/>
      <c r="R36" s="4"/>
      <c r="S36" s="4"/>
      <c r="T36" s="4"/>
      <c r="U36" s="4"/>
      <c r="V36" s="4"/>
      <c r="W36" s="4"/>
      <c r="X36" s="4"/>
      <c r="Y36" s="4"/>
      <c r="Z36" s="4"/>
    </row>
    <row r="37" spans="1:26" ht="13.2">
      <c r="A37" s="10">
        <v>12</v>
      </c>
      <c r="B37" s="66" t="s">
        <v>366</v>
      </c>
      <c r="C37" s="67">
        <v>20</v>
      </c>
      <c r="D37" s="67">
        <v>20</v>
      </c>
      <c r="E37" s="67">
        <f t="shared" si="0"/>
        <v>400</v>
      </c>
      <c r="F37" s="68" t="s">
        <v>283</v>
      </c>
      <c r="G37" s="4"/>
      <c r="H37" s="4"/>
      <c r="I37" s="4"/>
      <c r="J37" s="4"/>
      <c r="K37" s="4"/>
      <c r="L37" s="4"/>
      <c r="M37" s="4"/>
      <c r="N37" s="4"/>
      <c r="O37" s="4"/>
      <c r="P37" s="4"/>
      <c r="Q37" s="4"/>
      <c r="R37" s="4"/>
      <c r="S37" s="4"/>
      <c r="T37" s="4"/>
      <c r="U37" s="4"/>
      <c r="V37" s="4"/>
      <c r="W37" s="4"/>
      <c r="X37" s="4"/>
      <c r="Y37" s="4"/>
      <c r="Z37" s="4"/>
    </row>
    <row r="38" spans="1:26" ht="13.2">
      <c r="A38" s="10">
        <v>13</v>
      </c>
      <c r="B38" s="66" t="s">
        <v>368</v>
      </c>
      <c r="C38" s="67">
        <v>20</v>
      </c>
      <c r="D38" s="67">
        <v>20</v>
      </c>
      <c r="E38" s="67">
        <f t="shared" si="0"/>
        <v>400</v>
      </c>
      <c r="F38" s="68" t="s">
        <v>283</v>
      </c>
      <c r="G38" s="4"/>
      <c r="H38" s="4"/>
      <c r="I38" s="4"/>
      <c r="J38" s="4"/>
      <c r="K38" s="4"/>
      <c r="L38" s="4"/>
      <c r="M38" s="4"/>
      <c r="N38" s="4"/>
      <c r="O38" s="4"/>
      <c r="P38" s="4"/>
      <c r="Q38" s="4"/>
      <c r="R38" s="4"/>
      <c r="S38" s="4"/>
      <c r="T38" s="4"/>
      <c r="U38" s="4"/>
      <c r="V38" s="4"/>
      <c r="W38" s="4"/>
      <c r="X38" s="4"/>
      <c r="Y38" s="4"/>
      <c r="Z38" s="4"/>
    </row>
    <row r="39" spans="1:26" ht="13.2">
      <c r="A39" s="10">
        <v>14</v>
      </c>
      <c r="B39" s="66" t="s">
        <v>371</v>
      </c>
      <c r="C39" s="67">
        <v>5</v>
      </c>
      <c r="D39" s="67">
        <v>130</v>
      </c>
      <c r="E39" s="67">
        <f t="shared" si="0"/>
        <v>650</v>
      </c>
      <c r="F39" s="68" t="s">
        <v>283</v>
      </c>
      <c r="G39" s="4"/>
      <c r="H39" s="4"/>
      <c r="I39" s="4"/>
      <c r="J39" s="4"/>
      <c r="K39" s="4"/>
      <c r="L39" s="4"/>
      <c r="M39" s="4"/>
      <c r="N39" s="4"/>
      <c r="O39" s="4"/>
      <c r="P39" s="4"/>
      <c r="Q39" s="4"/>
      <c r="R39" s="4"/>
      <c r="S39" s="4"/>
      <c r="T39" s="4"/>
      <c r="U39" s="4"/>
      <c r="V39" s="4"/>
      <c r="W39" s="4"/>
      <c r="X39" s="4"/>
      <c r="Y39" s="4"/>
      <c r="Z39" s="4"/>
    </row>
    <row r="40" spans="1:26" ht="13.2">
      <c r="A40" s="10">
        <v>15</v>
      </c>
      <c r="B40" s="66" t="s">
        <v>373</v>
      </c>
      <c r="C40" s="67">
        <v>5</v>
      </c>
      <c r="D40" s="67">
        <v>20</v>
      </c>
      <c r="E40" s="67">
        <f t="shared" ref="E40:E41" si="1">D40*C40</f>
        <v>100</v>
      </c>
      <c r="F40" s="68" t="s">
        <v>283</v>
      </c>
      <c r="G40" s="4"/>
      <c r="H40" s="4"/>
      <c r="I40" s="4"/>
      <c r="J40" s="4"/>
      <c r="K40" s="4"/>
      <c r="L40" s="4"/>
      <c r="M40" s="4"/>
      <c r="N40" s="4"/>
      <c r="O40" s="4"/>
      <c r="P40" s="4"/>
      <c r="Q40" s="4"/>
      <c r="R40" s="4"/>
      <c r="S40" s="4"/>
      <c r="T40" s="4"/>
      <c r="U40" s="4"/>
      <c r="V40" s="4"/>
      <c r="W40" s="4"/>
      <c r="X40" s="4"/>
      <c r="Y40" s="4"/>
      <c r="Z40" s="4"/>
    </row>
    <row r="41" spans="1:26" ht="13.2">
      <c r="A41" s="10">
        <v>16</v>
      </c>
      <c r="B41" s="66" t="s">
        <v>376</v>
      </c>
      <c r="C41" s="67">
        <v>3</v>
      </c>
      <c r="D41" s="67">
        <v>30</v>
      </c>
      <c r="E41" s="67">
        <f t="shared" si="1"/>
        <v>90</v>
      </c>
      <c r="F41" s="68" t="s">
        <v>283</v>
      </c>
      <c r="G41" s="4"/>
      <c r="H41" s="4"/>
      <c r="I41" s="4"/>
      <c r="J41" s="4"/>
      <c r="K41" s="4"/>
      <c r="L41" s="4"/>
      <c r="M41" s="4"/>
      <c r="N41" s="4"/>
      <c r="O41" s="4"/>
      <c r="P41" s="4"/>
      <c r="Q41" s="4"/>
      <c r="R41" s="4"/>
      <c r="S41" s="4"/>
      <c r="T41" s="4"/>
      <c r="U41" s="4"/>
      <c r="V41" s="4"/>
      <c r="W41" s="4"/>
      <c r="X41" s="4"/>
      <c r="Y41" s="4"/>
      <c r="Z41" s="4"/>
    </row>
    <row r="42" spans="1:26" ht="13.2">
      <c r="A42" s="10">
        <v>17</v>
      </c>
      <c r="B42" s="52" t="s">
        <v>380</v>
      </c>
      <c r="C42" s="16">
        <v>4</v>
      </c>
      <c r="D42" s="16">
        <v>200</v>
      </c>
      <c r="E42" s="16">
        <f t="shared" ref="E42:E43" si="2">C42*D42</f>
        <v>800</v>
      </c>
      <c r="F42" s="56" t="s">
        <v>382</v>
      </c>
      <c r="G42" s="4"/>
      <c r="H42" s="4"/>
      <c r="I42" s="4"/>
      <c r="J42" s="4"/>
      <c r="K42" s="4"/>
      <c r="L42" s="4"/>
      <c r="M42" s="4"/>
      <c r="N42" s="4"/>
      <c r="O42" s="4"/>
      <c r="P42" s="4"/>
      <c r="Q42" s="4"/>
      <c r="R42" s="4"/>
      <c r="S42" s="4"/>
      <c r="T42" s="4"/>
      <c r="U42" s="4"/>
      <c r="V42" s="4"/>
      <c r="W42" s="4"/>
      <c r="X42" s="4"/>
      <c r="Y42" s="4"/>
      <c r="Z42" s="4"/>
    </row>
    <row r="43" spans="1:26" ht="13.2">
      <c r="A43" s="10">
        <v>18</v>
      </c>
      <c r="B43" s="52" t="s">
        <v>383</v>
      </c>
      <c r="C43" s="16">
        <v>10</v>
      </c>
      <c r="D43" s="16">
        <v>100</v>
      </c>
      <c r="E43" s="16">
        <f t="shared" si="2"/>
        <v>1000</v>
      </c>
      <c r="F43" s="56" t="s">
        <v>283</v>
      </c>
      <c r="G43" s="4"/>
      <c r="H43" s="4"/>
      <c r="I43" s="4"/>
      <c r="J43" s="4"/>
      <c r="K43" s="4"/>
      <c r="L43" s="4"/>
      <c r="M43" s="4"/>
      <c r="N43" s="4"/>
      <c r="O43" s="4"/>
      <c r="P43" s="4"/>
      <c r="Q43" s="4"/>
      <c r="R43" s="4"/>
      <c r="S43" s="4"/>
      <c r="T43" s="4"/>
      <c r="U43" s="4"/>
      <c r="V43" s="4"/>
      <c r="W43" s="4"/>
      <c r="X43" s="4"/>
      <c r="Y43" s="4"/>
      <c r="Z43" s="4"/>
    </row>
    <row r="44" spans="1:26" ht="13.2">
      <c r="A44" s="10">
        <v>19</v>
      </c>
      <c r="B44" s="66" t="s">
        <v>384</v>
      </c>
      <c r="C44" s="67">
        <v>2</v>
      </c>
      <c r="D44" s="67">
        <v>400</v>
      </c>
      <c r="E44" s="67">
        <f t="shared" ref="E44:E57" si="3">D44*C44</f>
        <v>800</v>
      </c>
      <c r="F44" s="68" t="s">
        <v>385</v>
      </c>
      <c r="G44" s="4"/>
      <c r="H44" s="4"/>
      <c r="I44" s="4"/>
      <c r="J44" s="4"/>
      <c r="K44" s="4"/>
      <c r="L44" s="4"/>
      <c r="M44" s="4"/>
      <c r="N44" s="4"/>
      <c r="O44" s="4"/>
      <c r="P44" s="4"/>
      <c r="Q44" s="4"/>
      <c r="R44" s="4"/>
      <c r="S44" s="4"/>
      <c r="T44" s="4"/>
      <c r="U44" s="4"/>
      <c r="V44" s="4"/>
      <c r="W44" s="4"/>
      <c r="X44" s="4"/>
      <c r="Y44" s="4"/>
      <c r="Z44" s="4"/>
    </row>
    <row r="45" spans="1:26" ht="13.2">
      <c r="A45" s="10">
        <v>20</v>
      </c>
      <c r="B45" s="66" t="s">
        <v>386</v>
      </c>
      <c r="C45" s="67">
        <v>4</v>
      </c>
      <c r="D45" s="67">
        <v>115</v>
      </c>
      <c r="E45" s="67">
        <f t="shared" si="3"/>
        <v>460</v>
      </c>
      <c r="F45" s="68" t="s">
        <v>385</v>
      </c>
      <c r="G45" s="4"/>
      <c r="H45" s="4"/>
      <c r="I45" s="4"/>
      <c r="J45" s="4"/>
      <c r="K45" s="4"/>
      <c r="L45" s="4"/>
      <c r="M45" s="4"/>
      <c r="N45" s="4"/>
      <c r="O45" s="4"/>
      <c r="P45" s="4"/>
      <c r="Q45" s="4"/>
      <c r="R45" s="4"/>
      <c r="S45" s="4"/>
      <c r="T45" s="4"/>
      <c r="U45" s="4"/>
      <c r="V45" s="4"/>
      <c r="W45" s="4"/>
      <c r="X45" s="4"/>
      <c r="Y45" s="4"/>
      <c r="Z45" s="4"/>
    </row>
    <row r="46" spans="1:26" ht="13.2">
      <c r="A46" s="10">
        <v>21</v>
      </c>
      <c r="B46" s="66" t="s">
        <v>387</v>
      </c>
      <c r="C46" s="67">
        <v>4</v>
      </c>
      <c r="D46" s="67">
        <v>125</v>
      </c>
      <c r="E46" s="67">
        <f t="shared" si="3"/>
        <v>500</v>
      </c>
      <c r="F46" s="68" t="s">
        <v>385</v>
      </c>
      <c r="G46" s="4"/>
      <c r="H46" s="4"/>
      <c r="I46" s="4"/>
      <c r="J46" s="4"/>
      <c r="K46" s="4"/>
      <c r="L46" s="4"/>
      <c r="M46" s="4"/>
      <c r="N46" s="4"/>
      <c r="O46" s="4"/>
      <c r="P46" s="4"/>
      <c r="Q46" s="4"/>
      <c r="R46" s="4"/>
      <c r="S46" s="4"/>
      <c r="T46" s="4"/>
      <c r="U46" s="4"/>
      <c r="V46" s="4"/>
      <c r="W46" s="4"/>
      <c r="X46" s="4"/>
      <c r="Y46" s="4"/>
      <c r="Z46" s="4"/>
    </row>
    <row r="47" spans="1:26" ht="13.2">
      <c r="A47" s="10">
        <v>22</v>
      </c>
      <c r="B47" s="66" t="s">
        <v>388</v>
      </c>
      <c r="C47" s="67">
        <v>4</v>
      </c>
      <c r="D47" s="67">
        <v>125</v>
      </c>
      <c r="E47" s="67">
        <f t="shared" si="3"/>
        <v>500</v>
      </c>
      <c r="F47" s="68" t="s">
        <v>385</v>
      </c>
      <c r="G47" s="4"/>
      <c r="H47" s="4"/>
      <c r="I47" s="4"/>
      <c r="J47" s="4"/>
      <c r="K47" s="4"/>
      <c r="L47" s="4"/>
      <c r="M47" s="4"/>
      <c r="N47" s="4"/>
      <c r="O47" s="4"/>
      <c r="P47" s="4"/>
      <c r="Q47" s="4"/>
      <c r="R47" s="4"/>
      <c r="S47" s="4"/>
      <c r="T47" s="4"/>
      <c r="U47" s="4"/>
      <c r="V47" s="4"/>
      <c r="W47" s="4"/>
      <c r="X47" s="4"/>
      <c r="Y47" s="4"/>
      <c r="Z47" s="4"/>
    </row>
    <row r="48" spans="1:26" ht="13.2">
      <c r="A48" s="10">
        <v>23</v>
      </c>
      <c r="B48" s="66" t="s">
        <v>389</v>
      </c>
      <c r="C48" s="67">
        <v>4</v>
      </c>
      <c r="D48" s="67">
        <v>90</v>
      </c>
      <c r="E48" s="67">
        <f t="shared" si="3"/>
        <v>360</v>
      </c>
      <c r="F48" s="68" t="s">
        <v>385</v>
      </c>
      <c r="G48" s="4"/>
      <c r="H48" s="4"/>
      <c r="I48" s="4"/>
      <c r="J48" s="4"/>
      <c r="K48" s="4"/>
      <c r="L48" s="4"/>
      <c r="M48" s="4"/>
      <c r="N48" s="4"/>
      <c r="O48" s="4"/>
      <c r="P48" s="4"/>
      <c r="Q48" s="4"/>
      <c r="R48" s="4"/>
      <c r="S48" s="4"/>
      <c r="T48" s="4"/>
      <c r="U48" s="4"/>
      <c r="V48" s="4"/>
      <c r="W48" s="4"/>
      <c r="X48" s="4"/>
      <c r="Y48" s="4"/>
      <c r="Z48" s="4"/>
    </row>
    <row r="49" spans="1:26" ht="13.2">
      <c r="A49" s="10">
        <v>24</v>
      </c>
      <c r="B49" s="66" t="s">
        <v>390</v>
      </c>
      <c r="C49" s="67">
        <v>4</v>
      </c>
      <c r="D49" s="67">
        <v>70</v>
      </c>
      <c r="E49" s="67">
        <f t="shared" si="3"/>
        <v>280</v>
      </c>
      <c r="F49" s="68" t="s">
        <v>391</v>
      </c>
      <c r="G49" s="4"/>
      <c r="H49" s="4"/>
      <c r="I49" s="4"/>
      <c r="J49" s="4"/>
      <c r="K49" s="4"/>
      <c r="L49" s="4"/>
      <c r="M49" s="4"/>
      <c r="N49" s="4"/>
      <c r="O49" s="4"/>
      <c r="P49" s="4"/>
      <c r="Q49" s="4"/>
      <c r="R49" s="4"/>
      <c r="S49" s="4"/>
      <c r="T49" s="4"/>
      <c r="U49" s="4"/>
      <c r="V49" s="4"/>
      <c r="W49" s="4"/>
      <c r="X49" s="4"/>
      <c r="Y49" s="4"/>
      <c r="Z49" s="4"/>
    </row>
    <row r="50" spans="1:26" ht="13.2">
      <c r="A50" s="10">
        <v>25</v>
      </c>
      <c r="B50" s="52" t="s">
        <v>392</v>
      </c>
      <c r="C50" s="16">
        <v>2</v>
      </c>
      <c r="D50" s="16">
        <v>800</v>
      </c>
      <c r="E50" s="16">
        <f t="shared" si="3"/>
        <v>1600</v>
      </c>
      <c r="F50" s="77" t="s">
        <v>393</v>
      </c>
      <c r="G50" s="4"/>
      <c r="H50" s="4"/>
      <c r="I50" s="4"/>
      <c r="J50" s="4"/>
      <c r="K50" s="4"/>
      <c r="L50" s="4"/>
      <c r="M50" s="4"/>
      <c r="N50" s="4"/>
      <c r="O50" s="4"/>
      <c r="P50" s="4"/>
      <c r="Q50" s="4"/>
      <c r="R50" s="4"/>
      <c r="S50" s="4"/>
      <c r="T50" s="4"/>
      <c r="U50" s="4"/>
      <c r="V50" s="4"/>
      <c r="W50" s="4"/>
      <c r="X50" s="4"/>
      <c r="Y50" s="4"/>
      <c r="Z50" s="4"/>
    </row>
    <row r="51" spans="1:26" ht="13.2">
      <c r="A51" s="10">
        <v>26</v>
      </c>
      <c r="B51" s="52" t="s">
        <v>394</v>
      </c>
      <c r="C51" s="16">
        <v>3</v>
      </c>
      <c r="D51" s="16">
        <v>800</v>
      </c>
      <c r="E51" s="16">
        <f t="shared" si="3"/>
        <v>2400</v>
      </c>
      <c r="F51" s="77" t="s">
        <v>395</v>
      </c>
      <c r="G51" s="4"/>
      <c r="H51" s="4"/>
      <c r="I51" s="4"/>
      <c r="J51" s="4"/>
      <c r="K51" s="4"/>
      <c r="L51" s="4"/>
      <c r="M51" s="4"/>
      <c r="N51" s="4"/>
      <c r="O51" s="4"/>
      <c r="P51" s="4"/>
      <c r="Q51" s="4"/>
      <c r="R51" s="4"/>
      <c r="S51" s="4"/>
      <c r="T51" s="4"/>
      <c r="U51" s="4"/>
      <c r="V51" s="4"/>
      <c r="W51" s="4"/>
      <c r="X51" s="4"/>
      <c r="Y51" s="4"/>
      <c r="Z51" s="4"/>
    </row>
    <row r="52" spans="1:26" ht="13.2">
      <c r="A52" s="10">
        <v>27</v>
      </c>
      <c r="B52" s="52" t="s">
        <v>396</v>
      </c>
      <c r="C52" s="16">
        <v>2</v>
      </c>
      <c r="D52" s="16">
        <v>800</v>
      </c>
      <c r="E52" s="16">
        <f t="shared" si="3"/>
        <v>1600</v>
      </c>
      <c r="F52" s="56" t="s">
        <v>397</v>
      </c>
      <c r="G52" s="4"/>
      <c r="H52" s="4"/>
      <c r="I52" s="4"/>
      <c r="J52" s="4"/>
      <c r="K52" s="4"/>
      <c r="L52" s="4"/>
      <c r="M52" s="4"/>
      <c r="N52" s="4"/>
      <c r="O52" s="4"/>
      <c r="P52" s="4"/>
      <c r="Q52" s="4"/>
      <c r="R52" s="4"/>
      <c r="S52" s="4"/>
      <c r="T52" s="4"/>
      <c r="U52" s="4"/>
      <c r="V52" s="4"/>
      <c r="W52" s="4"/>
      <c r="X52" s="4"/>
      <c r="Y52" s="4"/>
      <c r="Z52" s="4"/>
    </row>
    <row r="53" spans="1:26" ht="13.2">
      <c r="A53" s="10">
        <v>28</v>
      </c>
      <c r="B53" s="52" t="s">
        <v>398</v>
      </c>
      <c r="C53" s="16">
        <v>2</v>
      </c>
      <c r="D53" s="16">
        <v>1700</v>
      </c>
      <c r="E53" s="16">
        <f t="shared" si="3"/>
        <v>3400</v>
      </c>
      <c r="F53" s="56" t="s">
        <v>397</v>
      </c>
      <c r="G53" s="4"/>
      <c r="H53" s="4"/>
      <c r="I53" s="4"/>
      <c r="J53" s="4"/>
      <c r="K53" s="4"/>
      <c r="L53" s="4"/>
      <c r="M53" s="4"/>
      <c r="N53" s="4"/>
      <c r="O53" s="4"/>
      <c r="P53" s="4"/>
      <c r="Q53" s="4"/>
      <c r="R53" s="4"/>
      <c r="S53" s="4"/>
      <c r="T53" s="4"/>
      <c r="U53" s="4"/>
      <c r="V53" s="4"/>
      <c r="W53" s="4"/>
      <c r="X53" s="4"/>
      <c r="Y53" s="4"/>
      <c r="Z53" s="4"/>
    </row>
    <row r="54" spans="1:26" ht="13.2">
      <c r="A54" s="10">
        <v>29</v>
      </c>
      <c r="B54" s="52" t="s">
        <v>399</v>
      </c>
      <c r="C54" s="16">
        <v>2</v>
      </c>
      <c r="D54" s="16">
        <v>1200</v>
      </c>
      <c r="E54" s="16">
        <f t="shared" si="3"/>
        <v>2400</v>
      </c>
      <c r="F54" s="56" t="s">
        <v>397</v>
      </c>
      <c r="G54" s="4"/>
      <c r="H54" s="4"/>
      <c r="I54" s="4"/>
      <c r="J54" s="4"/>
      <c r="K54" s="4"/>
      <c r="L54" s="4"/>
      <c r="M54" s="4"/>
      <c r="N54" s="4"/>
      <c r="O54" s="4"/>
      <c r="P54" s="4"/>
      <c r="Q54" s="4"/>
      <c r="R54" s="4"/>
      <c r="S54" s="4"/>
      <c r="T54" s="4"/>
      <c r="U54" s="4"/>
      <c r="V54" s="4"/>
      <c r="W54" s="4"/>
      <c r="X54" s="4"/>
      <c r="Y54" s="4"/>
      <c r="Z54" s="4"/>
    </row>
    <row r="55" spans="1:26" ht="13.2">
      <c r="A55" s="10">
        <v>30</v>
      </c>
      <c r="B55" s="52" t="s">
        <v>400</v>
      </c>
      <c r="C55" s="16">
        <v>2</v>
      </c>
      <c r="D55" s="16">
        <v>2000</v>
      </c>
      <c r="E55" s="16">
        <f t="shared" si="3"/>
        <v>4000</v>
      </c>
      <c r="F55" s="56" t="s">
        <v>397</v>
      </c>
      <c r="G55" s="4"/>
      <c r="H55" s="4"/>
      <c r="I55" s="4"/>
      <c r="J55" s="4"/>
      <c r="K55" s="4"/>
      <c r="L55" s="4"/>
      <c r="M55" s="4"/>
      <c r="N55" s="4"/>
      <c r="O55" s="4"/>
      <c r="P55" s="4"/>
      <c r="Q55" s="4"/>
      <c r="R55" s="4"/>
      <c r="S55" s="4"/>
      <c r="T55" s="4"/>
      <c r="U55" s="4"/>
      <c r="V55" s="4"/>
      <c r="W55" s="4"/>
      <c r="X55" s="4"/>
      <c r="Y55" s="4"/>
      <c r="Z55" s="4"/>
    </row>
    <row r="56" spans="1:26" ht="13.2">
      <c r="A56" s="10">
        <v>31</v>
      </c>
      <c r="B56" s="7" t="s">
        <v>401</v>
      </c>
      <c r="C56" s="11">
        <v>1</v>
      </c>
      <c r="D56" s="11">
        <v>15000</v>
      </c>
      <c r="E56" s="11">
        <f t="shared" si="3"/>
        <v>15000</v>
      </c>
      <c r="F56" s="10" t="s">
        <v>402</v>
      </c>
      <c r="G56" s="4"/>
      <c r="H56" s="4"/>
      <c r="I56" s="4"/>
      <c r="J56" s="4"/>
      <c r="K56" s="4"/>
      <c r="L56" s="4"/>
      <c r="M56" s="4"/>
      <c r="N56" s="4"/>
      <c r="O56" s="4"/>
      <c r="P56" s="4"/>
      <c r="Q56" s="4"/>
      <c r="R56" s="4"/>
      <c r="S56" s="4"/>
      <c r="T56" s="4"/>
      <c r="U56" s="4"/>
      <c r="V56" s="4"/>
      <c r="W56" s="4"/>
      <c r="X56" s="4"/>
      <c r="Y56" s="4"/>
      <c r="Z56" s="4"/>
    </row>
    <row r="57" spans="1:26" ht="13.2">
      <c r="A57" s="10">
        <v>32</v>
      </c>
      <c r="B57" s="78" t="s">
        <v>403</v>
      </c>
      <c r="C57" s="79">
        <v>20</v>
      </c>
      <c r="D57" s="79">
        <v>250</v>
      </c>
      <c r="E57" s="79">
        <f t="shared" si="3"/>
        <v>5000</v>
      </c>
      <c r="F57" s="78" t="s">
        <v>404</v>
      </c>
      <c r="G57" s="4"/>
      <c r="I57" s="4"/>
      <c r="J57" s="4"/>
      <c r="K57" s="4"/>
      <c r="L57" s="4"/>
      <c r="M57" s="4"/>
      <c r="N57" s="4"/>
      <c r="O57" s="4"/>
      <c r="P57" s="4"/>
      <c r="Q57" s="4"/>
      <c r="R57" s="4"/>
      <c r="S57" s="4"/>
      <c r="T57" s="4"/>
      <c r="U57" s="4"/>
      <c r="V57" s="4"/>
      <c r="W57" s="4"/>
      <c r="X57" s="4"/>
      <c r="Y57" s="4"/>
      <c r="Z57" s="4"/>
    </row>
    <row r="58" spans="1:26" ht="13.2">
      <c r="A58" s="10">
        <v>33</v>
      </c>
      <c r="B58" s="78" t="s">
        <v>405</v>
      </c>
      <c r="C58" s="79">
        <v>16</v>
      </c>
      <c r="D58" s="79">
        <v>250</v>
      </c>
      <c r="E58" s="79">
        <f>C58*D58</f>
        <v>4000</v>
      </c>
      <c r="F58" s="78" t="s">
        <v>406</v>
      </c>
      <c r="G58" s="4"/>
      <c r="I58" s="4"/>
      <c r="J58" s="4"/>
      <c r="K58" s="4"/>
      <c r="L58" s="4"/>
      <c r="M58" s="4"/>
      <c r="N58" s="4"/>
      <c r="O58" s="4"/>
      <c r="P58" s="4"/>
      <c r="Q58" s="4"/>
      <c r="R58" s="4"/>
      <c r="S58" s="4"/>
      <c r="T58" s="4"/>
      <c r="U58" s="4"/>
      <c r="V58" s="4"/>
      <c r="W58" s="4"/>
      <c r="X58" s="4"/>
      <c r="Y58" s="4"/>
      <c r="Z58" s="4"/>
    </row>
    <row r="59" spans="1:26" ht="13.2">
      <c r="A59" s="10">
        <v>34</v>
      </c>
      <c r="B59" s="78" t="s">
        <v>407</v>
      </c>
      <c r="C59" s="79">
        <v>1</v>
      </c>
      <c r="D59" s="79">
        <v>1100</v>
      </c>
      <c r="E59" s="79">
        <f t="shared" ref="E59:E60" si="4">D59*C59</f>
        <v>1100</v>
      </c>
      <c r="F59" s="80" t="s">
        <v>283</v>
      </c>
      <c r="G59" s="4"/>
      <c r="I59" s="4"/>
      <c r="J59" s="4"/>
      <c r="K59" s="4"/>
      <c r="L59" s="4"/>
      <c r="M59" s="4"/>
      <c r="N59" s="4"/>
      <c r="O59" s="4"/>
      <c r="P59" s="4"/>
      <c r="Q59" s="4"/>
      <c r="R59" s="4"/>
      <c r="S59" s="4"/>
      <c r="T59" s="4"/>
      <c r="U59" s="4"/>
      <c r="V59" s="4"/>
      <c r="W59" s="4"/>
      <c r="X59" s="4"/>
      <c r="Y59" s="4"/>
      <c r="Z59" s="4"/>
    </row>
    <row r="60" spans="1:26" ht="13.2">
      <c r="A60" s="10">
        <v>35</v>
      </c>
      <c r="B60" s="78" t="s">
        <v>408</v>
      </c>
      <c r="C60" s="79">
        <v>2</v>
      </c>
      <c r="D60" s="79">
        <v>100</v>
      </c>
      <c r="E60" s="79">
        <f t="shared" si="4"/>
        <v>200</v>
      </c>
      <c r="F60" s="80" t="s">
        <v>402</v>
      </c>
      <c r="G60" s="4"/>
      <c r="I60" s="4"/>
      <c r="J60" s="4"/>
      <c r="K60" s="4"/>
      <c r="L60" s="4"/>
      <c r="M60" s="4"/>
      <c r="N60" s="4"/>
      <c r="O60" s="4"/>
      <c r="P60" s="4"/>
      <c r="Q60" s="4"/>
      <c r="R60" s="4"/>
      <c r="S60" s="4"/>
      <c r="T60" s="4"/>
      <c r="U60" s="4"/>
      <c r="V60" s="4"/>
      <c r="W60" s="4"/>
      <c r="X60" s="4"/>
      <c r="Y60" s="4"/>
      <c r="Z60" s="4"/>
    </row>
    <row r="61" spans="1:26" ht="13.2">
      <c r="A61" s="10">
        <v>36</v>
      </c>
      <c r="B61" s="78" t="s">
        <v>409</v>
      </c>
      <c r="C61" s="79">
        <v>35</v>
      </c>
      <c r="D61" s="79">
        <v>30</v>
      </c>
      <c r="E61" s="79">
        <f t="shared" ref="E61:E70" si="5">C61*D61</f>
        <v>1050</v>
      </c>
      <c r="F61" s="78" t="s">
        <v>402</v>
      </c>
      <c r="G61" s="4"/>
      <c r="I61" s="4"/>
      <c r="J61" s="4"/>
      <c r="K61" s="4"/>
      <c r="L61" s="4"/>
      <c r="M61" s="4"/>
      <c r="N61" s="4"/>
      <c r="O61" s="4"/>
      <c r="P61" s="4"/>
      <c r="Q61" s="4"/>
      <c r="R61" s="4"/>
      <c r="S61" s="4"/>
      <c r="T61" s="4"/>
      <c r="U61" s="4"/>
      <c r="V61" s="4"/>
      <c r="W61" s="4"/>
      <c r="X61" s="4"/>
      <c r="Y61" s="4"/>
      <c r="Z61" s="4"/>
    </row>
    <row r="62" spans="1:26" ht="13.2">
      <c r="A62" s="10">
        <v>37</v>
      </c>
      <c r="B62" s="78" t="s">
        <v>410</v>
      </c>
      <c r="C62" s="79">
        <v>3</v>
      </c>
      <c r="D62" s="79">
        <v>100</v>
      </c>
      <c r="E62" s="79">
        <f t="shared" si="5"/>
        <v>300</v>
      </c>
      <c r="F62" s="78" t="s">
        <v>402</v>
      </c>
      <c r="G62" s="4"/>
      <c r="I62" s="4"/>
      <c r="J62" s="4"/>
      <c r="K62" s="4"/>
      <c r="L62" s="4"/>
      <c r="M62" s="4"/>
      <c r="N62" s="4"/>
      <c r="O62" s="4"/>
      <c r="P62" s="4"/>
      <c r="Q62" s="4"/>
      <c r="R62" s="4"/>
      <c r="S62" s="4"/>
      <c r="T62" s="4"/>
      <c r="U62" s="4"/>
      <c r="V62" s="4"/>
      <c r="W62" s="4"/>
      <c r="X62" s="4"/>
      <c r="Y62" s="4"/>
      <c r="Z62" s="4"/>
    </row>
    <row r="63" spans="1:26" ht="13.2">
      <c r="A63" s="10">
        <v>38</v>
      </c>
      <c r="B63" s="78" t="s">
        <v>411</v>
      </c>
      <c r="C63" s="79">
        <v>18</v>
      </c>
      <c r="D63" s="79">
        <v>45</v>
      </c>
      <c r="E63" s="79">
        <f t="shared" si="5"/>
        <v>810</v>
      </c>
      <c r="F63" s="80" t="s">
        <v>283</v>
      </c>
      <c r="G63" s="4"/>
      <c r="I63" s="4"/>
      <c r="J63" s="4"/>
      <c r="K63" s="4"/>
      <c r="L63" s="4"/>
      <c r="M63" s="4"/>
      <c r="N63" s="4"/>
      <c r="O63" s="4"/>
      <c r="P63" s="4"/>
      <c r="Q63" s="4"/>
      <c r="R63" s="4"/>
      <c r="S63" s="4"/>
      <c r="T63" s="4"/>
      <c r="U63" s="4"/>
      <c r="V63" s="4"/>
      <c r="W63" s="4"/>
      <c r="X63" s="4"/>
      <c r="Y63" s="4"/>
      <c r="Z63" s="4"/>
    </row>
    <row r="64" spans="1:26" ht="13.2">
      <c r="A64" s="10">
        <v>39</v>
      </c>
      <c r="B64" s="78" t="s">
        <v>412</v>
      </c>
      <c r="C64" s="79">
        <v>20</v>
      </c>
      <c r="D64" s="79">
        <v>27</v>
      </c>
      <c r="E64" s="79">
        <f t="shared" si="5"/>
        <v>540</v>
      </c>
      <c r="F64" s="80" t="s">
        <v>413</v>
      </c>
      <c r="G64" s="4"/>
      <c r="I64" s="4"/>
      <c r="J64" s="4"/>
      <c r="K64" s="4"/>
      <c r="L64" s="4"/>
      <c r="M64" s="4"/>
      <c r="N64" s="4"/>
      <c r="O64" s="4"/>
      <c r="P64" s="4"/>
      <c r="Q64" s="4"/>
      <c r="R64" s="4"/>
      <c r="S64" s="4"/>
      <c r="T64" s="4"/>
      <c r="U64" s="4"/>
      <c r="V64" s="4"/>
      <c r="W64" s="4"/>
      <c r="X64" s="4"/>
      <c r="Y64" s="4"/>
      <c r="Z64" s="4"/>
    </row>
    <row r="65" spans="1:26" ht="13.2">
      <c r="A65" s="10">
        <v>40</v>
      </c>
      <c r="B65" s="78" t="s">
        <v>414</v>
      </c>
      <c r="C65" s="79">
        <v>24</v>
      </c>
      <c r="D65" s="79">
        <v>25</v>
      </c>
      <c r="E65" s="79">
        <f t="shared" si="5"/>
        <v>600</v>
      </c>
      <c r="F65" s="80" t="s">
        <v>404</v>
      </c>
      <c r="G65" s="4"/>
      <c r="I65" s="4"/>
      <c r="J65" s="4"/>
      <c r="K65" s="4"/>
      <c r="L65" s="4"/>
      <c r="M65" s="4"/>
      <c r="N65" s="4"/>
      <c r="O65" s="4"/>
      <c r="P65" s="4"/>
      <c r="Q65" s="4"/>
      <c r="R65" s="4"/>
      <c r="S65" s="4"/>
      <c r="T65" s="4"/>
      <c r="U65" s="4"/>
      <c r="V65" s="4"/>
      <c r="W65" s="4"/>
      <c r="X65" s="4"/>
      <c r="Y65" s="4"/>
      <c r="Z65" s="4"/>
    </row>
    <row r="66" spans="1:26" ht="13.2">
      <c r="A66" s="10">
        <v>41</v>
      </c>
      <c r="B66" s="78" t="s">
        <v>415</v>
      </c>
      <c r="C66" s="79">
        <v>7</v>
      </c>
      <c r="D66" s="79">
        <v>17</v>
      </c>
      <c r="E66" s="79">
        <f t="shared" si="5"/>
        <v>119</v>
      </c>
      <c r="F66" s="80" t="s">
        <v>283</v>
      </c>
      <c r="G66" s="4"/>
      <c r="I66" s="4"/>
      <c r="J66" s="4"/>
      <c r="K66" s="4"/>
      <c r="L66" s="4"/>
      <c r="M66" s="4"/>
      <c r="N66" s="4"/>
      <c r="O66" s="4"/>
      <c r="P66" s="4"/>
      <c r="Q66" s="4"/>
      <c r="R66" s="4"/>
      <c r="S66" s="4"/>
      <c r="T66" s="4"/>
      <c r="U66" s="4"/>
      <c r="V66" s="4"/>
      <c r="W66" s="4"/>
      <c r="X66" s="4"/>
      <c r="Y66" s="4"/>
      <c r="Z66" s="4"/>
    </row>
    <row r="67" spans="1:26" ht="13.2">
      <c r="A67" s="10">
        <v>42</v>
      </c>
      <c r="B67" s="78" t="s">
        <v>416</v>
      </c>
      <c r="C67" s="79">
        <v>1</v>
      </c>
      <c r="D67" s="79">
        <v>1500</v>
      </c>
      <c r="E67" s="79">
        <f t="shared" si="5"/>
        <v>1500</v>
      </c>
      <c r="F67" s="80" t="s">
        <v>402</v>
      </c>
      <c r="G67" s="4"/>
      <c r="I67" s="4"/>
      <c r="J67" s="4"/>
      <c r="K67" s="4"/>
      <c r="L67" s="4"/>
      <c r="M67" s="4"/>
      <c r="N67" s="4"/>
      <c r="O67" s="4"/>
      <c r="P67" s="4"/>
      <c r="Q67" s="4"/>
      <c r="R67" s="4"/>
      <c r="S67" s="4"/>
      <c r="T67" s="4"/>
      <c r="U67" s="4"/>
      <c r="V67" s="4"/>
      <c r="W67" s="4"/>
      <c r="X67" s="4"/>
      <c r="Y67" s="4"/>
      <c r="Z67" s="4"/>
    </row>
    <row r="68" spans="1:26" ht="13.2">
      <c r="A68" s="10">
        <v>43</v>
      </c>
      <c r="B68" s="78" t="s">
        <v>417</v>
      </c>
      <c r="C68" s="79">
        <v>15</v>
      </c>
      <c r="D68" s="79">
        <v>50</v>
      </c>
      <c r="E68" s="79">
        <f t="shared" si="5"/>
        <v>750</v>
      </c>
      <c r="F68" s="78" t="s">
        <v>402</v>
      </c>
      <c r="G68" s="4"/>
      <c r="I68" s="4"/>
      <c r="J68" s="4"/>
      <c r="K68" s="4"/>
      <c r="L68" s="4"/>
      <c r="M68" s="4"/>
      <c r="N68" s="4"/>
      <c r="O68" s="4"/>
      <c r="P68" s="4"/>
      <c r="Q68" s="4"/>
      <c r="R68" s="4"/>
      <c r="S68" s="4"/>
      <c r="T68" s="4"/>
      <c r="U68" s="4"/>
      <c r="V68" s="4"/>
      <c r="W68" s="4"/>
      <c r="X68" s="4"/>
      <c r="Y68" s="4"/>
      <c r="Z68" s="4"/>
    </row>
    <row r="69" spans="1:26" ht="13.2">
      <c r="A69" s="10">
        <v>44</v>
      </c>
      <c r="B69" s="78" t="s">
        <v>418</v>
      </c>
      <c r="C69" s="79">
        <v>40</v>
      </c>
      <c r="D69" s="79">
        <v>60</v>
      </c>
      <c r="E69" s="79">
        <f t="shared" si="5"/>
        <v>2400</v>
      </c>
      <c r="F69" s="78" t="s">
        <v>402</v>
      </c>
      <c r="G69" s="4"/>
      <c r="I69" s="4"/>
      <c r="J69" s="4"/>
      <c r="K69" s="4"/>
      <c r="L69" s="4"/>
      <c r="M69" s="4"/>
      <c r="N69" s="4"/>
      <c r="O69" s="4"/>
      <c r="P69" s="4"/>
      <c r="Q69" s="4"/>
      <c r="R69" s="4"/>
      <c r="S69" s="4"/>
      <c r="T69" s="4"/>
      <c r="U69" s="4"/>
      <c r="V69" s="4"/>
      <c r="W69" s="4"/>
      <c r="X69" s="4"/>
      <c r="Y69" s="4"/>
      <c r="Z69" s="4"/>
    </row>
    <row r="70" spans="1:26" ht="13.2">
      <c r="A70" s="10">
        <v>45</v>
      </c>
      <c r="B70" s="78" t="s">
        <v>419</v>
      </c>
      <c r="C70" s="79">
        <v>10</v>
      </c>
      <c r="D70" s="79">
        <v>100</v>
      </c>
      <c r="E70" s="79">
        <f t="shared" si="5"/>
        <v>1000</v>
      </c>
      <c r="F70" s="78" t="s">
        <v>402</v>
      </c>
      <c r="G70" s="4"/>
      <c r="I70" s="4"/>
      <c r="J70" s="4"/>
      <c r="K70" s="4"/>
      <c r="L70" s="4"/>
      <c r="M70" s="4"/>
      <c r="N70" s="4"/>
      <c r="O70" s="4"/>
      <c r="P70" s="4"/>
      <c r="Q70" s="4"/>
      <c r="R70" s="4"/>
      <c r="S70" s="4"/>
      <c r="T70" s="4"/>
      <c r="U70" s="4"/>
      <c r="V70" s="4"/>
      <c r="W70" s="4"/>
      <c r="X70" s="4"/>
      <c r="Y70" s="4"/>
      <c r="Z70" s="4"/>
    </row>
    <row r="71" spans="1:26" ht="13.2">
      <c r="A71" s="10">
        <v>46</v>
      </c>
      <c r="B71" s="7" t="s">
        <v>420</v>
      </c>
      <c r="C71" s="11">
        <v>1</v>
      </c>
      <c r="D71" s="11">
        <v>2000</v>
      </c>
      <c r="E71" s="11">
        <f t="shared" ref="E71:E75" si="6">D71*C71</f>
        <v>2000</v>
      </c>
      <c r="F71" s="10" t="s">
        <v>402</v>
      </c>
      <c r="G71" s="4"/>
      <c r="H71" s="4"/>
      <c r="I71" s="4"/>
      <c r="J71" s="4"/>
      <c r="K71" s="4"/>
      <c r="L71" s="4"/>
      <c r="M71" s="4"/>
      <c r="N71" s="4"/>
      <c r="O71" s="4"/>
      <c r="P71" s="4"/>
      <c r="Q71" s="4"/>
      <c r="R71" s="4"/>
      <c r="S71" s="4"/>
      <c r="T71" s="4"/>
      <c r="U71" s="4"/>
      <c r="V71" s="4"/>
      <c r="W71" s="4"/>
      <c r="X71" s="4"/>
      <c r="Y71" s="4"/>
      <c r="Z71" s="4"/>
    </row>
    <row r="72" spans="1:26" ht="13.2">
      <c r="A72" s="10">
        <v>47</v>
      </c>
      <c r="B72" s="7" t="s">
        <v>421</v>
      </c>
      <c r="C72" s="11">
        <v>3</v>
      </c>
      <c r="D72" s="11">
        <v>5000</v>
      </c>
      <c r="E72" s="11">
        <f t="shared" si="6"/>
        <v>15000</v>
      </c>
      <c r="F72" s="10" t="s">
        <v>402</v>
      </c>
      <c r="G72" s="4"/>
      <c r="H72" s="4"/>
      <c r="I72" s="4"/>
      <c r="J72" s="4"/>
      <c r="K72" s="4"/>
      <c r="L72" s="4"/>
      <c r="M72" s="4"/>
      <c r="N72" s="4"/>
      <c r="O72" s="4"/>
      <c r="P72" s="4"/>
      <c r="Q72" s="4"/>
      <c r="R72" s="4"/>
      <c r="S72" s="4"/>
      <c r="T72" s="4"/>
      <c r="U72" s="4"/>
      <c r="V72" s="4"/>
      <c r="W72" s="4"/>
      <c r="X72" s="4"/>
      <c r="Y72" s="4"/>
      <c r="Z72" s="4"/>
    </row>
    <row r="73" spans="1:26" ht="13.2">
      <c r="A73" s="10">
        <v>48</v>
      </c>
      <c r="B73" s="7" t="s">
        <v>422</v>
      </c>
      <c r="C73" s="11">
        <v>25</v>
      </c>
      <c r="D73" s="11">
        <v>39</v>
      </c>
      <c r="E73" s="11">
        <f t="shared" si="6"/>
        <v>975</v>
      </c>
      <c r="F73" s="62" t="s">
        <v>423</v>
      </c>
      <c r="G73" s="4"/>
      <c r="H73" s="4"/>
      <c r="I73" s="4"/>
      <c r="J73" s="4"/>
      <c r="K73" s="4"/>
      <c r="L73" s="4"/>
      <c r="M73" s="4"/>
      <c r="N73" s="4"/>
      <c r="O73" s="4"/>
      <c r="P73" s="4"/>
      <c r="Q73" s="4"/>
      <c r="R73" s="4"/>
      <c r="S73" s="4"/>
      <c r="T73" s="4"/>
      <c r="U73" s="4"/>
      <c r="V73" s="4"/>
      <c r="W73" s="4"/>
      <c r="X73" s="4"/>
      <c r="Y73" s="4"/>
      <c r="Z73" s="4"/>
    </row>
    <row r="74" spans="1:26" ht="13.2">
      <c r="A74" s="10">
        <v>49</v>
      </c>
      <c r="B74" s="7" t="s">
        <v>424</v>
      </c>
      <c r="C74" s="11">
        <v>1</v>
      </c>
      <c r="D74" s="11">
        <v>329</v>
      </c>
      <c r="E74" s="11">
        <f t="shared" si="6"/>
        <v>329</v>
      </c>
      <c r="F74" s="62" t="s">
        <v>423</v>
      </c>
      <c r="G74" s="4"/>
      <c r="H74" s="4"/>
      <c r="I74" s="4"/>
      <c r="J74" s="4"/>
      <c r="K74" s="4"/>
      <c r="L74" s="4"/>
      <c r="M74" s="4"/>
      <c r="N74" s="4"/>
      <c r="O74" s="4"/>
      <c r="P74" s="4"/>
      <c r="Q74" s="4"/>
      <c r="R74" s="4"/>
      <c r="S74" s="4"/>
      <c r="T74" s="4"/>
      <c r="U74" s="4"/>
      <c r="V74" s="4"/>
      <c r="W74" s="4"/>
      <c r="X74" s="4"/>
      <c r="Y74" s="4"/>
      <c r="Z74" s="4"/>
    </row>
    <row r="75" spans="1:26" ht="13.2">
      <c r="A75" s="10">
        <v>50</v>
      </c>
      <c r="B75" s="7" t="s">
        <v>431</v>
      </c>
      <c r="C75" s="11">
        <v>3</v>
      </c>
      <c r="D75" s="11">
        <v>500</v>
      </c>
      <c r="E75" s="11">
        <f t="shared" si="6"/>
        <v>1500</v>
      </c>
      <c r="F75" s="7"/>
      <c r="G75" s="4"/>
      <c r="H75" s="4"/>
      <c r="I75" s="4"/>
      <c r="J75" s="4"/>
      <c r="K75" s="4"/>
      <c r="L75" s="4"/>
      <c r="M75" s="4"/>
      <c r="N75" s="4"/>
      <c r="O75" s="4"/>
      <c r="P75" s="4"/>
      <c r="Q75" s="4"/>
      <c r="R75" s="4"/>
      <c r="S75" s="4"/>
      <c r="T75" s="4"/>
      <c r="U75" s="4"/>
      <c r="V75" s="4"/>
      <c r="W75" s="4"/>
      <c r="X75" s="4"/>
      <c r="Y75" s="4"/>
      <c r="Z75" s="4"/>
    </row>
    <row r="76" spans="1:26" ht="13.2">
      <c r="A76" s="10">
        <v>51</v>
      </c>
      <c r="B76" s="10" t="s">
        <v>434</v>
      </c>
      <c r="C76" s="10"/>
      <c r="D76" s="10"/>
      <c r="E76" s="10">
        <v>26700</v>
      </c>
      <c r="F76" s="10"/>
      <c r="G76" s="4"/>
      <c r="H76" s="4"/>
      <c r="I76" s="4"/>
      <c r="J76" s="4"/>
      <c r="K76" s="4"/>
      <c r="L76" s="4"/>
      <c r="M76" s="4"/>
      <c r="N76" s="4"/>
      <c r="O76" s="4"/>
      <c r="P76" s="4"/>
      <c r="Q76" s="4"/>
      <c r="R76" s="4"/>
      <c r="S76" s="4"/>
      <c r="T76" s="4"/>
      <c r="U76" s="4"/>
      <c r="V76" s="4"/>
      <c r="W76" s="4"/>
      <c r="X76" s="4"/>
      <c r="Y76" s="4"/>
      <c r="Z76" s="4"/>
    </row>
    <row r="77" spans="1:26" ht="13.2">
      <c r="A77" s="10">
        <v>52</v>
      </c>
      <c r="B77" s="10" t="s">
        <v>436</v>
      </c>
      <c r="C77" s="10"/>
      <c r="D77" s="10"/>
      <c r="E77" s="10">
        <v>20000</v>
      </c>
      <c r="F77" s="10"/>
      <c r="G77" s="4"/>
      <c r="H77" s="4"/>
      <c r="I77" s="4"/>
      <c r="J77" s="4"/>
      <c r="K77" s="4"/>
      <c r="L77" s="4"/>
      <c r="M77" s="4"/>
      <c r="N77" s="4"/>
      <c r="O77" s="4"/>
      <c r="P77" s="4"/>
      <c r="Q77" s="4"/>
      <c r="R77" s="4"/>
      <c r="S77" s="4"/>
      <c r="T77" s="4"/>
      <c r="U77" s="4"/>
      <c r="V77" s="4"/>
      <c r="W77" s="4"/>
      <c r="X77" s="4"/>
      <c r="Y77" s="4"/>
      <c r="Z77" s="4"/>
    </row>
    <row r="78" spans="1:26" ht="13.2">
      <c r="A78" s="4"/>
      <c r="B78" s="4"/>
      <c r="C78" s="4"/>
      <c r="D78" s="8" t="s">
        <v>5</v>
      </c>
      <c r="E78" s="8">
        <f>SUM(E26:E77)</f>
        <v>126643</v>
      </c>
      <c r="F78" s="4"/>
      <c r="G78" s="4"/>
      <c r="H78" s="4"/>
      <c r="I78" s="4"/>
      <c r="J78" s="4"/>
      <c r="K78" s="4"/>
      <c r="L78" s="4"/>
      <c r="M78" s="4"/>
      <c r="N78" s="4"/>
      <c r="O78" s="4"/>
      <c r="P78" s="4"/>
      <c r="Q78" s="4"/>
      <c r="R78" s="4"/>
      <c r="S78" s="4"/>
      <c r="T78" s="4"/>
      <c r="U78" s="4"/>
      <c r="V78" s="4"/>
      <c r="W78" s="4"/>
      <c r="X78" s="4"/>
      <c r="Y78" s="4"/>
      <c r="Z78" s="4"/>
    </row>
    <row r="79" spans="1:26" ht="13.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c r="A80" s="225" t="s">
        <v>441</v>
      </c>
      <c r="B80" s="226"/>
      <c r="C80" s="226"/>
      <c r="D80" s="226"/>
      <c r="E80" s="226"/>
      <c r="F80" s="227"/>
      <c r="G80" s="4"/>
      <c r="H80" s="4"/>
      <c r="I80" s="4"/>
      <c r="J80" s="4"/>
      <c r="K80" s="4"/>
      <c r="L80" s="4"/>
      <c r="M80" s="4"/>
      <c r="N80" s="4"/>
      <c r="O80" s="4"/>
      <c r="P80" s="4"/>
      <c r="Q80" s="4"/>
      <c r="R80" s="4"/>
      <c r="S80" s="4"/>
      <c r="T80" s="4"/>
      <c r="U80" s="4"/>
      <c r="V80" s="4"/>
      <c r="W80" s="4"/>
      <c r="X80" s="4"/>
      <c r="Y80" s="4"/>
      <c r="Z80" s="4"/>
    </row>
    <row r="81" spans="1:26" ht="13.2">
      <c r="A81" s="8" t="s">
        <v>44</v>
      </c>
      <c r="B81" s="8" t="s">
        <v>46</v>
      </c>
      <c r="C81" s="8" t="s">
        <v>47</v>
      </c>
      <c r="D81" s="8" t="s">
        <v>48</v>
      </c>
      <c r="E81" s="8" t="s">
        <v>9</v>
      </c>
      <c r="F81" s="8" t="s">
        <v>52</v>
      </c>
      <c r="G81" s="4"/>
      <c r="H81" s="4"/>
      <c r="I81" s="4"/>
      <c r="J81" s="4"/>
      <c r="K81" s="4"/>
      <c r="L81" s="4"/>
      <c r="M81" s="4"/>
      <c r="N81" s="4"/>
      <c r="O81" s="4"/>
      <c r="P81" s="4"/>
      <c r="Q81" s="4"/>
      <c r="R81" s="4"/>
      <c r="S81" s="4"/>
      <c r="T81" s="4"/>
      <c r="U81" s="4"/>
      <c r="V81" s="4"/>
      <c r="W81" s="4"/>
      <c r="X81" s="4"/>
      <c r="Y81" s="4"/>
      <c r="Z81" s="4"/>
    </row>
    <row r="82" spans="1:26" ht="13.2">
      <c r="A82" s="10">
        <v>1</v>
      </c>
      <c r="B82" s="52" t="s">
        <v>443</v>
      </c>
      <c r="C82" s="16">
        <v>5</v>
      </c>
      <c r="D82" s="16">
        <v>250</v>
      </c>
      <c r="E82" s="16">
        <f t="shared" ref="E82:E93" si="7">C82*D82</f>
        <v>1250</v>
      </c>
      <c r="F82" s="56" t="s">
        <v>283</v>
      </c>
      <c r="G82" s="4"/>
      <c r="H82" s="4"/>
      <c r="I82" s="4"/>
      <c r="J82" s="4"/>
      <c r="K82" s="4"/>
      <c r="L82" s="4"/>
      <c r="M82" s="4"/>
      <c r="N82" s="4"/>
      <c r="O82" s="4"/>
      <c r="P82" s="4"/>
      <c r="Q82" s="4"/>
      <c r="R82" s="4"/>
      <c r="S82" s="4"/>
      <c r="T82" s="4"/>
      <c r="U82" s="4"/>
      <c r="V82" s="4"/>
      <c r="W82" s="4"/>
      <c r="X82" s="4"/>
      <c r="Y82" s="4"/>
      <c r="Z82" s="4"/>
    </row>
    <row r="83" spans="1:26" ht="13.2">
      <c r="A83" s="10">
        <v>2</v>
      </c>
      <c r="B83" s="52" t="s">
        <v>451</v>
      </c>
      <c r="C83" s="16">
        <v>5</v>
      </c>
      <c r="D83" s="16">
        <v>110</v>
      </c>
      <c r="E83" s="16">
        <f t="shared" si="7"/>
        <v>550</v>
      </c>
      <c r="F83" s="56" t="s">
        <v>283</v>
      </c>
      <c r="G83" s="4"/>
      <c r="H83" s="4"/>
      <c r="I83" s="4"/>
      <c r="J83" s="4"/>
      <c r="K83" s="4"/>
      <c r="L83" s="4"/>
      <c r="M83" s="4"/>
      <c r="N83" s="4"/>
      <c r="O83" s="4"/>
      <c r="P83" s="4"/>
      <c r="Q83" s="4"/>
      <c r="R83" s="4"/>
      <c r="S83" s="4"/>
      <c r="T83" s="4"/>
      <c r="U83" s="4"/>
      <c r="V83" s="4"/>
      <c r="W83" s="4"/>
      <c r="X83" s="4"/>
      <c r="Y83" s="4"/>
      <c r="Z83" s="4"/>
    </row>
    <row r="84" spans="1:26" ht="13.2">
      <c r="A84" s="10">
        <v>3</v>
      </c>
      <c r="B84" s="52" t="s">
        <v>454</v>
      </c>
      <c r="C84" s="16">
        <v>5</v>
      </c>
      <c r="D84" s="16">
        <v>60</v>
      </c>
      <c r="E84" s="16">
        <f t="shared" si="7"/>
        <v>300</v>
      </c>
      <c r="F84" s="56" t="s">
        <v>283</v>
      </c>
      <c r="G84" s="4"/>
      <c r="H84" s="4"/>
      <c r="I84" s="4"/>
      <c r="J84" s="4"/>
      <c r="K84" s="4"/>
      <c r="L84" s="4"/>
      <c r="M84" s="4"/>
      <c r="N84" s="4"/>
      <c r="O84" s="4"/>
      <c r="P84" s="4"/>
      <c r="Q84" s="4"/>
      <c r="R84" s="4"/>
      <c r="S84" s="4"/>
      <c r="T84" s="4"/>
      <c r="U84" s="4"/>
      <c r="V84" s="4"/>
      <c r="W84" s="4"/>
      <c r="X84" s="4"/>
      <c r="Y84" s="4"/>
      <c r="Z84" s="4"/>
    </row>
    <row r="85" spans="1:26" ht="13.2">
      <c r="A85" s="10">
        <v>4</v>
      </c>
      <c r="B85" s="52" t="s">
        <v>457</v>
      </c>
      <c r="C85" s="16">
        <v>2</v>
      </c>
      <c r="D85" s="16">
        <v>100</v>
      </c>
      <c r="E85" s="16">
        <f t="shared" si="7"/>
        <v>200</v>
      </c>
      <c r="F85" s="56" t="s">
        <v>283</v>
      </c>
      <c r="G85" s="4"/>
      <c r="H85" s="4"/>
      <c r="I85" s="4"/>
      <c r="J85" s="4"/>
      <c r="K85" s="4"/>
      <c r="L85" s="4"/>
      <c r="M85" s="4"/>
      <c r="N85" s="4"/>
      <c r="O85" s="4"/>
      <c r="P85" s="4"/>
      <c r="Q85" s="4"/>
      <c r="R85" s="4"/>
      <c r="S85" s="4"/>
      <c r="T85" s="4"/>
      <c r="U85" s="4"/>
      <c r="V85" s="4"/>
      <c r="W85" s="4"/>
      <c r="X85" s="4"/>
      <c r="Y85" s="4"/>
      <c r="Z85" s="4"/>
    </row>
    <row r="86" spans="1:26" ht="13.2">
      <c r="A86" s="10">
        <v>5</v>
      </c>
      <c r="B86" s="52" t="s">
        <v>458</v>
      </c>
      <c r="C86" s="16">
        <v>10</v>
      </c>
      <c r="D86" s="16">
        <v>40</v>
      </c>
      <c r="E86" s="16">
        <f t="shared" si="7"/>
        <v>400</v>
      </c>
      <c r="F86" s="56" t="s">
        <v>283</v>
      </c>
      <c r="G86" s="4"/>
      <c r="H86" s="4"/>
      <c r="I86" s="4"/>
      <c r="J86" s="4"/>
      <c r="K86" s="4"/>
      <c r="L86" s="4"/>
      <c r="M86" s="4"/>
      <c r="N86" s="4"/>
      <c r="O86" s="4"/>
      <c r="P86" s="4"/>
      <c r="Q86" s="4"/>
      <c r="R86" s="4"/>
      <c r="S86" s="4"/>
      <c r="T86" s="4"/>
      <c r="U86" s="4"/>
      <c r="V86" s="4"/>
      <c r="W86" s="4"/>
      <c r="X86" s="4"/>
      <c r="Y86" s="4"/>
      <c r="Z86" s="4"/>
    </row>
    <row r="87" spans="1:26" ht="13.2">
      <c r="A87" s="10">
        <v>6</v>
      </c>
      <c r="B87" s="52" t="s">
        <v>459</v>
      </c>
      <c r="C87" s="16">
        <v>10</v>
      </c>
      <c r="D87" s="16">
        <v>170</v>
      </c>
      <c r="E87" s="16">
        <f t="shared" si="7"/>
        <v>1700</v>
      </c>
      <c r="F87" s="56" t="s">
        <v>283</v>
      </c>
      <c r="G87" s="4"/>
      <c r="H87" s="4"/>
      <c r="I87" s="4"/>
      <c r="J87" s="4"/>
      <c r="K87" s="4"/>
      <c r="L87" s="4"/>
      <c r="M87" s="4"/>
      <c r="N87" s="4"/>
      <c r="O87" s="4"/>
      <c r="P87" s="4"/>
      <c r="Q87" s="4"/>
      <c r="R87" s="4"/>
      <c r="S87" s="4"/>
      <c r="T87" s="4"/>
      <c r="U87" s="4"/>
      <c r="V87" s="4"/>
      <c r="W87" s="4"/>
      <c r="X87" s="4"/>
      <c r="Y87" s="4"/>
      <c r="Z87" s="4"/>
    </row>
    <row r="88" spans="1:26" ht="13.2">
      <c r="A88" s="10">
        <v>7</v>
      </c>
      <c r="B88" s="52" t="s">
        <v>460</v>
      </c>
      <c r="C88" s="16">
        <v>10</v>
      </c>
      <c r="D88" s="16">
        <v>40</v>
      </c>
      <c r="E88" s="16">
        <f t="shared" si="7"/>
        <v>400</v>
      </c>
      <c r="F88" s="56" t="s">
        <v>283</v>
      </c>
      <c r="G88" s="4"/>
      <c r="H88" s="4"/>
      <c r="I88" s="4"/>
      <c r="J88" s="4"/>
      <c r="K88" s="4"/>
      <c r="L88" s="4"/>
      <c r="M88" s="4"/>
      <c r="N88" s="4"/>
      <c r="O88" s="4"/>
      <c r="P88" s="4"/>
      <c r="Q88" s="4"/>
      <c r="R88" s="4"/>
      <c r="S88" s="4"/>
      <c r="T88" s="4"/>
      <c r="U88" s="4"/>
      <c r="V88" s="4"/>
      <c r="W88" s="4"/>
      <c r="X88" s="4"/>
      <c r="Y88" s="4"/>
      <c r="Z88" s="4"/>
    </row>
    <row r="89" spans="1:26" ht="13.2">
      <c r="A89" s="10">
        <v>8</v>
      </c>
      <c r="B89" s="52" t="s">
        <v>463</v>
      </c>
      <c r="C89" s="16">
        <v>10</v>
      </c>
      <c r="D89" s="16">
        <v>40</v>
      </c>
      <c r="E89" s="16">
        <f t="shared" si="7"/>
        <v>400</v>
      </c>
      <c r="F89" s="56" t="s">
        <v>283</v>
      </c>
      <c r="G89" s="4"/>
      <c r="H89" s="4"/>
      <c r="I89" s="4"/>
      <c r="J89" s="4"/>
      <c r="K89" s="4"/>
      <c r="L89" s="4"/>
      <c r="M89" s="4"/>
      <c r="N89" s="4"/>
      <c r="O89" s="4"/>
      <c r="P89" s="4"/>
      <c r="Q89" s="4"/>
      <c r="R89" s="4"/>
      <c r="S89" s="4"/>
      <c r="T89" s="4"/>
      <c r="U89" s="4"/>
      <c r="V89" s="4"/>
      <c r="W89" s="4"/>
      <c r="X89" s="4"/>
      <c r="Y89" s="4"/>
      <c r="Z89" s="4"/>
    </row>
    <row r="90" spans="1:26" ht="13.2">
      <c r="A90" s="10">
        <v>9</v>
      </c>
      <c r="B90" s="52" t="s">
        <v>465</v>
      </c>
      <c r="C90" s="16">
        <v>2</v>
      </c>
      <c r="D90" s="16">
        <v>1500</v>
      </c>
      <c r="E90" s="16">
        <f t="shared" si="7"/>
        <v>3000</v>
      </c>
      <c r="F90" s="56" t="s">
        <v>466</v>
      </c>
      <c r="G90" s="4"/>
      <c r="H90" s="4"/>
      <c r="I90" s="4"/>
      <c r="J90" s="4"/>
      <c r="K90" s="4"/>
      <c r="L90" s="4"/>
      <c r="M90" s="4"/>
      <c r="N90" s="4"/>
      <c r="O90" s="4"/>
      <c r="P90" s="4"/>
      <c r="Q90" s="4"/>
      <c r="R90" s="4"/>
      <c r="S90" s="4"/>
      <c r="T90" s="4"/>
      <c r="U90" s="4"/>
      <c r="V90" s="4"/>
      <c r="W90" s="4"/>
      <c r="X90" s="4"/>
      <c r="Y90" s="4"/>
      <c r="Z90" s="4"/>
    </row>
    <row r="91" spans="1:26" ht="13.2">
      <c r="A91" s="10">
        <v>10</v>
      </c>
      <c r="B91" s="52" t="s">
        <v>468</v>
      </c>
      <c r="C91" s="16">
        <v>10</v>
      </c>
      <c r="D91" s="16">
        <v>40</v>
      </c>
      <c r="E91" s="16">
        <f t="shared" si="7"/>
        <v>400</v>
      </c>
      <c r="F91" s="56" t="s">
        <v>283</v>
      </c>
      <c r="G91" s="4"/>
      <c r="H91" s="4"/>
      <c r="I91" s="4"/>
      <c r="J91" s="4"/>
      <c r="K91" s="4"/>
      <c r="L91" s="4"/>
      <c r="M91" s="4"/>
      <c r="N91" s="4"/>
      <c r="O91" s="4"/>
      <c r="P91" s="4"/>
      <c r="Q91" s="4"/>
      <c r="R91" s="4"/>
      <c r="S91" s="4"/>
      <c r="T91" s="4"/>
      <c r="U91" s="4"/>
      <c r="V91" s="4"/>
      <c r="W91" s="4"/>
      <c r="X91" s="4"/>
      <c r="Y91" s="4"/>
      <c r="Z91" s="4"/>
    </row>
    <row r="92" spans="1:26" ht="13.2">
      <c r="A92" s="10">
        <v>11</v>
      </c>
      <c r="B92" s="66" t="s">
        <v>471</v>
      </c>
      <c r="C92" s="67">
        <v>10</v>
      </c>
      <c r="D92" s="67">
        <v>50</v>
      </c>
      <c r="E92" s="67">
        <f t="shared" si="7"/>
        <v>500</v>
      </c>
      <c r="F92" s="68" t="s">
        <v>283</v>
      </c>
      <c r="G92" s="4"/>
      <c r="H92" s="4"/>
      <c r="I92" s="4"/>
      <c r="J92" s="4"/>
      <c r="K92" s="4"/>
      <c r="L92" s="4"/>
      <c r="M92" s="4"/>
      <c r="N92" s="4"/>
      <c r="O92" s="4"/>
      <c r="P92" s="4"/>
      <c r="Q92" s="4"/>
      <c r="R92" s="4"/>
      <c r="S92" s="4"/>
      <c r="T92" s="4"/>
      <c r="U92" s="4"/>
      <c r="V92" s="4"/>
      <c r="W92" s="4"/>
      <c r="X92" s="4"/>
      <c r="Y92" s="4"/>
      <c r="Z92" s="4"/>
    </row>
    <row r="93" spans="1:26" ht="13.2">
      <c r="A93" s="10">
        <v>12</v>
      </c>
      <c r="B93" s="66" t="s">
        <v>474</v>
      </c>
      <c r="C93" s="67">
        <v>1</v>
      </c>
      <c r="D93" s="67">
        <v>12260</v>
      </c>
      <c r="E93" s="67">
        <f t="shared" si="7"/>
        <v>12260</v>
      </c>
      <c r="F93" s="68" t="s">
        <v>385</v>
      </c>
      <c r="G93" s="4"/>
      <c r="H93" s="4"/>
      <c r="I93" s="4"/>
      <c r="J93" s="4"/>
      <c r="K93" s="4"/>
      <c r="L93" s="4"/>
      <c r="M93" s="4"/>
      <c r="N93" s="4"/>
      <c r="O93" s="4"/>
      <c r="P93" s="4"/>
      <c r="Q93" s="4"/>
      <c r="R93" s="4"/>
      <c r="S93" s="4"/>
      <c r="T93" s="4"/>
      <c r="U93" s="4"/>
      <c r="V93" s="4"/>
      <c r="W93" s="4"/>
      <c r="X93" s="4"/>
      <c r="Y93" s="4"/>
      <c r="Z93" s="4"/>
    </row>
    <row r="94" spans="1:26" ht="13.2">
      <c r="A94" s="10">
        <v>13</v>
      </c>
      <c r="B94" s="52" t="s">
        <v>477</v>
      </c>
      <c r="C94" s="16">
        <v>1</v>
      </c>
      <c r="D94" s="16">
        <v>3000</v>
      </c>
      <c r="E94" s="16">
        <v>3000</v>
      </c>
      <c r="F94" s="52"/>
      <c r="G94" s="4"/>
      <c r="H94" s="4"/>
      <c r="I94" s="4"/>
      <c r="J94" s="4"/>
      <c r="K94" s="4"/>
      <c r="L94" s="4"/>
      <c r="M94" s="4"/>
      <c r="N94" s="4"/>
      <c r="O94" s="4"/>
      <c r="P94" s="4"/>
      <c r="Q94" s="4"/>
      <c r="R94" s="4"/>
      <c r="S94" s="4"/>
      <c r="T94" s="4"/>
      <c r="U94" s="4"/>
      <c r="V94" s="4"/>
      <c r="W94" s="4"/>
      <c r="X94" s="4"/>
      <c r="Y94" s="4"/>
      <c r="Z94" s="4"/>
    </row>
    <row r="95" spans="1:26" ht="13.2">
      <c r="A95" s="10">
        <v>14</v>
      </c>
      <c r="B95" s="52" t="s">
        <v>478</v>
      </c>
      <c r="C95" s="16">
        <v>5</v>
      </c>
      <c r="D95" s="16">
        <v>60</v>
      </c>
      <c r="E95" s="16">
        <f t="shared" ref="E95:E100" si="8">C95*D95</f>
        <v>300</v>
      </c>
      <c r="F95" s="56" t="s">
        <v>283</v>
      </c>
      <c r="G95" s="4"/>
      <c r="H95" s="4"/>
      <c r="I95" s="4"/>
      <c r="J95" s="4"/>
      <c r="K95" s="4"/>
      <c r="L95" s="4"/>
      <c r="M95" s="4"/>
      <c r="N95" s="4"/>
      <c r="O95" s="4"/>
      <c r="P95" s="4"/>
      <c r="Q95" s="4"/>
      <c r="R95" s="4"/>
      <c r="S95" s="4"/>
      <c r="T95" s="4"/>
      <c r="U95" s="4"/>
      <c r="V95" s="4"/>
      <c r="W95" s="4"/>
      <c r="X95" s="4"/>
      <c r="Y95" s="4"/>
      <c r="Z95" s="4"/>
    </row>
    <row r="96" spans="1:26" ht="13.2">
      <c r="A96" s="10">
        <v>15</v>
      </c>
      <c r="B96" s="52" t="s">
        <v>479</v>
      </c>
      <c r="C96" s="16">
        <v>5</v>
      </c>
      <c r="D96" s="16">
        <v>50</v>
      </c>
      <c r="E96" s="16">
        <f t="shared" si="8"/>
        <v>250</v>
      </c>
      <c r="F96" s="56" t="s">
        <v>283</v>
      </c>
      <c r="G96" s="4"/>
      <c r="H96" s="4"/>
      <c r="I96" s="4"/>
      <c r="J96" s="4"/>
      <c r="K96" s="4"/>
      <c r="L96" s="4"/>
      <c r="M96" s="4"/>
      <c r="N96" s="4"/>
      <c r="O96" s="4"/>
      <c r="P96" s="4"/>
      <c r="Q96" s="4"/>
      <c r="R96" s="4"/>
      <c r="S96" s="4"/>
      <c r="T96" s="4"/>
      <c r="U96" s="4"/>
      <c r="V96" s="4"/>
      <c r="W96" s="4"/>
      <c r="X96" s="4"/>
      <c r="Y96" s="4"/>
      <c r="Z96" s="4"/>
    </row>
    <row r="97" spans="1:26" ht="13.2">
      <c r="A97" s="10">
        <v>16</v>
      </c>
      <c r="B97" s="52" t="s">
        <v>482</v>
      </c>
      <c r="C97" s="16">
        <v>5</v>
      </c>
      <c r="D97" s="16">
        <v>100</v>
      </c>
      <c r="E97" s="16">
        <f t="shared" si="8"/>
        <v>500</v>
      </c>
      <c r="F97" s="56" t="s">
        <v>283</v>
      </c>
      <c r="G97" s="4"/>
      <c r="H97" s="4"/>
      <c r="I97" s="4"/>
      <c r="J97" s="4"/>
      <c r="K97" s="4"/>
      <c r="L97" s="4"/>
      <c r="M97" s="4"/>
      <c r="N97" s="4"/>
      <c r="O97" s="4"/>
      <c r="P97" s="4"/>
      <c r="Q97" s="4"/>
      <c r="R97" s="4"/>
      <c r="S97" s="4"/>
      <c r="T97" s="4"/>
      <c r="U97" s="4"/>
      <c r="V97" s="4"/>
      <c r="W97" s="4"/>
      <c r="X97" s="4"/>
      <c r="Y97" s="4"/>
      <c r="Z97" s="4"/>
    </row>
    <row r="98" spans="1:26" ht="13.2">
      <c r="A98" s="10">
        <v>17</v>
      </c>
      <c r="B98" s="52" t="s">
        <v>485</v>
      </c>
      <c r="C98" s="16">
        <v>5</v>
      </c>
      <c r="D98" s="16">
        <v>30</v>
      </c>
      <c r="E98" s="16">
        <f t="shared" si="8"/>
        <v>150</v>
      </c>
      <c r="F98" s="56" t="s">
        <v>283</v>
      </c>
      <c r="G98" s="4"/>
      <c r="H98" s="4"/>
      <c r="I98" s="4"/>
      <c r="J98" s="4"/>
      <c r="K98" s="4"/>
      <c r="L98" s="4"/>
      <c r="M98" s="4"/>
      <c r="N98" s="4"/>
      <c r="O98" s="4"/>
      <c r="P98" s="4"/>
      <c r="Q98" s="4"/>
      <c r="R98" s="4"/>
      <c r="S98" s="4"/>
      <c r="T98" s="4"/>
      <c r="U98" s="4"/>
      <c r="V98" s="4"/>
      <c r="W98" s="4"/>
      <c r="X98" s="4"/>
      <c r="Y98" s="4"/>
      <c r="Z98" s="4"/>
    </row>
    <row r="99" spans="1:26" ht="13.2">
      <c r="A99" s="10">
        <v>18</v>
      </c>
      <c r="B99" s="52" t="s">
        <v>487</v>
      </c>
      <c r="C99" s="16">
        <v>5</v>
      </c>
      <c r="D99" s="16">
        <v>35</v>
      </c>
      <c r="E99" s="16">
        <f t="shared" si="8"/>
        <v>175</v>
      </c>
      <c r="F99" s="56" t="s">
        <v>283</v>
      </c>
      <c r="G99" s="4"/>
      <c r="H99" s="4"/>
      <c r="I99" s="4"/>
      <c r="J99" s="4"/>
      <c r="K99" s="4"/>
      <c r="L99" s="4"/>
      <c r="M99" s="4"/>
      <c r="N99" s="4"/>
      <c r="O99" s="4"/>
      <c r="P99" s="4"/>
      <c r="Q99" s="4"/>
      <c r="R99" s="4"/>
      <c r="S99" s="4"/>
      <c r="T99" s="4"/>
      <c r="U99" s="4"/>
      <c r="V99" s="4"/>
      <c r="W99" s="4"/>
      <c r="X99" s="4"/>
      <c r="Y99" s="4"/>
      <c r="Z99" s="4"/>
    </row>
    <row r="100" spans="1:26" ht="13.2">
      <c r="A100" s="10">
        <v>19</v>
      </c>
      <c r="B100" s="52" t="s">
        <v>489</v>
      </c>
      <c r="C100" s="16">
        <v>5</v>
      </c>
      <c r="D100" s="16">
        <v>50</v>
      </c>
      <c r="E100" s="16">
        <f t="shared" si="8"/>
        <v>250</v>
      </c>
      <c r="F100" s="56" t="s">
        <v>283</v>
      </c>
      <c r="G100" s="4"/>
      <c r="H100" s="4"/>
      <c r="I100" s="4"/>
      <c r="J100" s="4"/>
      <c r="K100" s="4"/>
      <c r="L100" s="4"/>
      <c r="M100" s="4"/>
      <c r="N100" s="4"/>
      <c r="O100" s="4"/>
      <c r="P100" s="4"/>
      <c r="Q100" s="4"/>
      <c r="R100" s="4"/>
      <c r="S100" s="4"/>
      <c r="T100" s="4"/>
      <c r="U100" s="4"/>
      <c r="V100" s="4"/>
      <c r="W100" s="4"/>
      <c r="X100" s="4"/>
      <c r="Y100" s="4"/>
      <c r="Z100" s="4"/>
    </row>
    <row r="101" spans="1:26" ht="13.2">
      <c r="A101" s="10">
        <v>20</v>
      </c>
      <c r="B101" s="52" t="s">
        <v>492</v>
      </c>
      <c r="C101" s="16">
        <v>3</v>
      </c>
      <c r="D101" s="16">
        <v>200</v>
      </c>
      <c r="E101" s="16">
        <f t="shared" ref="E101:E114" si="9">D101*C101</f>
        <v>600</v>
      </c>
      <c r="F101" s="56" t="s">
        <v>283</v>
      </c>
      <c r="G101" s="4"/>
      <c r="H101" s="4"/>
      <c r="I101" s="4"/>
      <c r="J101" s="4"/>
      <c r="K101" s="4"/>
      <c r="L101" s="4"/>
      <c r="M101" s="4"/>
      <c r="N101" s="4"/>
      <c r="O101" s="4"/>
      <c r="P101" s="4"/>
      <c r="Q101" s="4"/>
      <c r="R101" s="4"/>
      <c r="S101" s="4"/>
      <c r="T101" s="4"/>
      <c r="U101" s="4"/>
      <c r="V101" s="4"/>
      <c r="W101" s="4"/>
      <c r="X101" s="4"/>
      <c r="Y101" s="4"/>
      <c r="Z101" s="4"/>
    </row>
    <row r="102" spans="1:26" ht="13.2">
      <c r="A102" s="10">
        <v>21</v>
      </c>
      <c r="B102" s="52" t="s">
        <v>498</v>
      </c>
      <c r="C102" s="16">
        <v>1</v>
      </c>
      <c r="D102" s="16">
        <v>550</v>
      </c>
      <c r="E102" s="16">
        <f t="shared" si="9"/>
        <v>550</v>
      </c>
      <c r="F102" s="56" t="s">
        <v>385</v>
      </c>
      <c r="G102" s="4"/>
      <c r="H102" s="4"/>
      <c r="I102" s="4"/>
      <c r="J102" s="4"/>
      <c r="K102" s="4"/>
      <c r="L102" s="4"/>
      <c r="M102" s="4"/>
      <c r="N102" s="4"/>
      <c r="O102" s="4"/>
      <c r="P102" s="4"/>
      <c r="Q102" s="4"/>
      <c r="R102" s="4"/>
      <c r="S102" s="4"/>
      <c r="T102" s="4"/>
      <c r="U102" s="4"/>
      <c r="V102" s="4"/>
      <c r="W102" s="4"/>
      <c r="X102" s="4"/>
      <c r="Y102" s="4"/>
      <c r="Z102" s="4"/>
    </row>
    <row r="103" spans="1:26" ht="13.2">
      <c r="A103" s="10">
        <v>22</v>
      </c>
      <c r="B103" s="52" t="s">
        <v>500</v>
      </c>
      <c r="C103" s="16">
        <v>1</v>
      </c>
      <c r="D103" s="16">
        <v>220</v>
      </c>
      <c r="E103" s="16">
        <f t="shared" si="9"/>
        <v>220</v>
      </c>
      <c r="F103" s="56" t="s">
        <v>283</v>
      </c>
      <c r="G103" s="4"/>
      <c r="H103" s="4"/>
      <c r="I103" s="4"/>
      <c r="J103" s="4"/>
      <c r="K103" s="4"/>
      <c r="L103" s="4"/>
      <c r="M103" s="4"/>
      <c r="N103" s="4"/>
      <c r="O103" s="4"/>
      <c r="P103" s="4"/>
      <c r="Q103" s="4"/>
      <c r="R103" s="4"/>
      <c r="S103" s="4"/>
      <c r="T103" s="4"/>
      <c r="U103" s="4"/>
      <c r="V103" s="4"/>
      <c r="W103" s="4"/>
      <c r="X103" s="4"/>
      <c r="Y103" s="4"/>
      <c r="Z103" s="4"/>
    </row>
    <row r="104" spans="1:26" ht="13.2">
      <c r="A104" s="10">
        <v>23</v>
      </c>
      <c r="B104" s="52" t="s">
        <v>501</v>
      </c>
      <c r="C104" s="16">
        <v>2</v>
      </c>
      <c r="D104" s="16">
        <v>260</v>
      </c>
      <c r="E104" s="16">
        <f t="shared" si="9"/>
        <v>520</v>
      </c>
      <c r="F104" s="77" t="s">
        <v>502</v>
      </c>
      <c r="G104" s="4"/>
      <c r="H104" s="4"/>
      <c r="I104" s="4"/>
      <c r="J104" s="4"/>
      <c r="K104" s="4"/>
      <c r="L104" s="4"/>
      <c r="M104" s="4"/>
      <c r="N104" s="4"/>
      <c r="O104" s="4"/>
      <c r="P104" s="4"/>
      <c r="Q104" s="4"/>
      <c r="R104" s="4"/>
      <c r="S104" s="4"/>
      <c r="T104" s="4"/>
      <c r="U104" s="4"/>
      <c r="V104" s="4"/>
      <c r="W104" s="4"/>
      <c r="X104" s="4"/>
      <c r="Y104" s="4"/>
      <c r="Z104" s="4"/>
    </row>
    <row r="105" spans="1:26" ht="13.2">
      <c r="A105" s="10">
        <v>24</v>
      </c>
      <c r="B105" s="52" t="s">
        <v>505</v>
      </c>
      <c r="C105" s="16">
        <v>3</v>
      </c>
      <c r="D105" s="16">
        <v>100</v>
      </c>
      <c r="E105" s="16">
        <f t="shared" si="9"/>
        <v>300</v>
      </c>
      <c r="F105" s="56" t="s">
        <v>283</v>
      </c>
      <c r="G105" s="4"/>
      <c r="H105" s="4"/>
      <c r="I105" s="4"/>
      <c r="J105" s="4"/>
      <c r="K105" s="4"/>
      <c r="L105" s="4"/>
      <c r="M105" s="4"/>
      <c r="N105" s="4"/>
      <c r="O105" s="4"/>
      <c r="P105" s="4"/>
      <c r="Q105" s="4"/>
      <c r="R105" s="4"/>
      <c r="S105" s="4"/>
      <c r="T105" s="4"/>
      <c r="U105" s="4"/>
      <c r="V105" s="4"/>
      <c r="W105" s="4"/>
      <c r="X105" s="4"/>
      <c r="Y105" s="4"/>
      <c r="Z105" s="4"/>
    </row>
    <row r="106" spans="1:26" ht="13.2">
      <c r="A106" s="10">
        <v>25</v>
      </c>
      <c r="B106" s="52" t="s">
        <v>507</v>
      </c>
      <c r="C106" s="16">
        <v>1</v>
      </c>
      <c r="D106" s="16">
        <v>500</v>
      </c>
      <c r="E106" s="16">
        <f t="shared" si="9"/>
        <v>500</v>
      </c>
      <c r="F106" s="56" t="s">
        <v>283</v>
      </c>
      <c r="G106" s="4"/>
      <c r="H106" s="4"/>
      <c r="I106" s="4"/>
      <c r="J106" s="4"/>
      <c r="K106" s="4"/>
      <c r="L106" s="4"/>
      <c r="M106" s="4"/>
      <c r="N106" s="4"/>
      <c r="O106" s="4"/>
      <c r="P106" s="4"/>
      <c r="Q106" s="4"/>
      <c r="R106" s="4"/>
      <c r="S106" s="4"/>
      <c r="T106" s="4"/>
      <c r="U106" s="4"/>
      <c r="V106" s="4"/>
      <c r="W106" s="4"/>
      <c r="X106" s="4"/>
      <c r="Y106" s="4"/>
      <c r="Z106" s="4"/>
    </row>
    <row r="107" spans="1:26" ht="13.2">
      <c r="A107" s="10">
        <v>26</v>
      </c>
      <c r="B107" s="52" t="s">
        <v>509</v>
      </c>
      <c r="C107" s="16">
        <v>3</v>
      </c>
      <c r="D107" s="16">
        <v>500</v>
      </c>
      <c r="E107" s="16">
        <f t="shared" si="9"/>
        <v>1500</v>
      </c>
      <c r="F107" s="56" t="s">
        <v>510</v>
      </c>
      <c r="G107" s="4"/>
      <c r="H107" s="4"/>
      <c r="I107" s="4"/>
      <c r="J107" s="4"/>
      <c r="K107" s="4"/>
      <c r="L107" s="4"/>
      <c r="M107" s="4"/>
      <c r="N107" s="4"/>
      <c r="O107" s="4"/>
      <c r="P107" s="4"/>
      <c r="Q107" s="4"/>
      <c r="R107" s="4"/>
      <c r="S107" s="4"/>
      <c r="T107" s="4"/>
      <c r="U107" s="4"/>
      <c r="V107" s="4"/>
      <c r="W107" s="4"/>
      <c r="X107" s="4"/>
      <c r="Y107" s="4"/>
      <c r="Z107" s="4"/>
    </row>
    <row r="108" spans="1:26" ht="13.2">
      <c r="A108" s="10">
        <v>27</v>
      </c>
      <c r="B108" s="52" t="s">
        <v>511</v>
      </c>
      <c r="C108" s="16">
        <v>4</v>
      </c>
      <c r="D108" s="16">
        <v>800</v>
      </c>
      <c r="E108" s="16">
        <f t="shared" si="9"/>
        <v>3200</v>
      </c>
      <c r="F108" s="56" t="s">
        <v>385</v>
      </c>
      <c r="G108" s="4"/>
      <c r="H108" s="4"/>
      <c r="I108" s="4"/>
      <c r="J108" s="4"/>
      <c r="K108" s="4"/>
      <c r="L108" s="4"/>
      <c r="M108" s="4"/>
      <c r="N108" s="4"/>
      <c r="O108" s="4"/>
      <c r="P108" s="4"/>
      <c r="Q108" s="4"/>
      <c r="R108" s="4"/>
      <c r="S108" s="4"/>
      <c r="T108" s="4"/>
      <c r="U108" s="4"/>
      <c r="V108" s="4"/>
      <c r="W108" s="4"/>
      <c r="X108" s="4"/>
      <c r="Y108" s="4"/>
      <c r="Z108" s="4"/>
    </row>
    <row r="109" spans="1:26" ht="13.2">
      <c r="A109" s="10">
        <v>28</v>
      </c>
      <c r="B109" s="52" t="s">
        <v>513</v>
      </c>
      <c r="C109" s="16">
        <v>3</v>
      </c>
      <c r="D109" s="16">
        <v>70</v>
      </c>
      <c r="E109" s="16">
        <f t="shared" si="9"/>
        <v>210</v>
      </c>
      <c r="F109" s="56" t="s">
        <v>283</v>
      </c>
      <c r="G109" s="4"/>
      <c r="H109" s="4"/>
      <c r="I109" s="4"/>
      <c r="J109" s="4"/>
      <c r="K109" s="4"/>
      <c r="L109" s="4"/>
      <c r="M109" s="4"/>
      <c r="N109" s="4"/>
      <c r="O109" s="4"/>
      <c r="P109" s="4"/>
      <c r="Q109" s="4"/>
      <c r="R109" s="4"/>
      <c r="S109" s="4"/>
      <c r="T109" s="4"/>
      <c r="U109" s="4"/>
      <c r="V109" s="4"/>
      <c r="W109" s="4"/>
      <c r="X109" s="4"/>
      <c r="Y109" s="4"/>
      <c r="Z109" s="4"/>
    </row>
    <row r="110" spans="1:26" ht="13.2">
      <c r="A110" s="10">
        <v>29</v>
      </c>
      <c r="B110" s="52" t="s">
        <v>515</v>
      </c>
      <c r="C110" s="16">
        <v>6</v>
      </c>
      <c r="D110" s="16">
        <v>200</v>
      </c>
      <c r="E110" s="16">
        <f t="shared" si="9"/>
        <v>1200</v>
      </c>
      <c r="F110" s="56" t="s">
        <v>385</v>
      </c>
      <c r="G110" s="4"/>
      <c r="H110" s="4"/>
      <c r="I110" s="4"/>
      <c r="J110" s="4"/>
      <c r="K110" s="4"/>
      <c r="L110" s="4"/>
      <c r="M110" s="4"/>
      <c r="N110" s="4"/>
      <c r="O110" s="4"/>
      <c r="P110" s="4"/>
      <c r="Q110" s="4"/>
      <c r="R110" s="4"/>
      <c r="S110" s="4"/>
      <c r="T110" s="4"/>
      <c r="U110" s="4"/>
      <c r="V110" s="4"/>
      <c r="W110" s="4"/>
      <c r="X110" s="4"/>
      <c r="Y110" s="4"/>
      <c r="Z110" s="4"/>
    </row>
    <row r="111" spans="1:26" ht="13.2">
      <c r="A111" s="10">
        <v>30</v>
      </c>
      <c r="B111" s="52" t="s">
        <v>517</v>
      </c>
      <c r="C111" s="16">
        <v>1</v>
      </c>
      <c r="D111" s="16">
        <v>3000</v>
      </c>
      <c r="E111" s="16">
        <f t="shared" si="9"/>
        <v>3000</v>
      </c>
      <c r="F111" s="52" t="s">
        <v>402</v>
      </c>
      <c r="G111" s="4"/>
      <c r="H111" s="4"/>
      <c r="I111" s="4"/>
      <c r="J111" s="4"/>
      <c r="K111" s="4"/>
      <c r="L111" s="4"/>
      <c r="M111" s="4"/>
      <c r="N111" s="4"/>
      <c r="O111" s="4"/>
      <c r="P111" s="4"/>
      <c r="Q111" s="4"/>
      <c r="R111" s="4"/>
      <c r="S111" s="4"/>
      <c r="T111" s="4"/>
      <c r="U111" s="4"/>
      <c r="V111" s="4"/>
      <c r="W111" s="4"/>
      <c r="X111" s="4"/>
      <c r="Y111" s="4"/>
      <c r="Z111" s="4"/>
    </row>
    <row r="112" spans="1:26" ht="13.2">
      <c r="A112" s="10">
        <v>31</v>
      </c>
      <c r="B112" s="52" t="s">
        <v>518</v>
      </c>
      <c r="C112" s="16">
        <v>1</v>
      </c>
      <c r="D112" s="16">
        <v>5000</v>
      </c>
      <c r="E112" s="16">
        <f t="shared" si="9"/>
        <v>5000</v>
      </c>
      <c r="F112" s="56" t="s">
        <v>510</v>
      </c>
      <c r="G112" s="4"/>
      <c r="H112" s="4"/>
      <c r="I112" s="4"/>
      <c r="J112" s="4"/>
      <c r="K112" s="4"/>
      <c r="L112" s="4"/>
      <c r="M112" s="4"/>
      <c r="N112" s="4"/>
      <c r="O112" s="4"/>
      <c r="P112" s="4"/>
      <c r="Q112" s="4"/>
      <c r="R112" s="4"/>
      <c r="S112" s="4"/>
      <c r="T112" s="4"/>
      <c r="U112" s="4"/>
      <c r="V112" s="4"/>
      <c r="W112" s="4"/>
      <c r="X112" s="4"/>
      <c r="Y112" s="4"/>
      <c r="Z112" s="4"/>
    </row>
    <row r="113" spans="1:26" ht="13.2">
      <c r="A113" s="10">
        <v>32</v>
      </c>
      <c r="B113" s="52" t="s">
        <v>521</v>
      </c>
      <c r="C113" s="16">
        <v>1</v>
      </c>
      <c r="D113" s="16">
        <v>200</v>
      </c>
      <c r="E113" s="16">
        <f t="shared" si="9"/>
        <v>200</v>
      </c>
      <c r="F113" s="56" t="s">
        <v>385</v>
      </c>
      <c r="G113" s="4"/>
      <c r="H113" s="4"/>
      <c r="I113" s="4"/>
      <c r="J113" s="4"/>
      <c r="K113" s="4"/>
      <c r="L113" s="4"/>
      <c r="M113" s="4"/>
      <c r="N113" s="4"/>
      <c r="O113" s="4"/>
      <c r="P113" s="4"/>
      <c r="Q113" s="4"/>
      <c r="R113" s="4"/>
      <c r="S113" s="4"/>
      <c r="T113" s="4"/>
      <c r="U113" s="4"/>
      <c r="V113" s="4"/>
      <c r="W113" s="4"/>
      <c r="X113" s="4"/>
      <c r="Y113" s="4"/>
      <c r="Z113" s="4"/>
    </row>
    <row r="114" spans="1:26" ht="13.2">
      <c r="A114" s="10">
        <v>33</v>
      </c>
      <c r="B114" s="52" t="s">
        <v>523</v>
      </c>
      <c r="C114" s="16">
        <v>1</v>
      </c>
      <c r="D114" s="16">
        <v>10000</v>
      </c>
      <c r="E114" s="16">
        <f t="shared" si="9"/>
        <v>10000</v>
      </c>
      <c r="F114" s="52" t="s">
        <v>510</v>
      </c>
      <c r="G114" s="4"/>
      <c r="H114" s="4"/>
      <c r="I114" s="4"/>
      <c r="J114" s="4"/>
      <c r="K114" s="4"/>
      <c r="L114" s="4"/>
      <c r="M114" s="4"/>
      <c r="N114" s="4"/>
      <c r="O114" s="4"/>
      <c r="P114" s="4"/>
      <c r="Q114" s="4"/>
      <c r="R114" s="4"/>
      <c r="S114" s="4"/>
      <c r="T114" s="4"/>
      <c r="U114" s="4"/>
      <c r="V114" s="4"/>
      <c r="W114" s="4"/>
      <c r="X114" s="4"/>
      <c r="Y114" s="4"/>
      <c r="Z114" s="4"/>
    </row>
    <row r="115" spans="1:26" ht="13.2">
      <c r="A115" s="10">
        <v>34</v>
      </c>
      <c r="B115" s="52" t="s">
        <v>525</v>
      </c>
      <c r="C115" s="16">
        <v>1</v>
      </c>
      <c r="D115" s="16">
        <v>1700</v>
      </c>
      <c r="E115" s="16">
        <f>SUM(A115:D115)</f>
        <v>1735</v>
      </c>
      <c r="F115" s="102" t="s">
        <v>510</v>
      </c>
      <c r="G115" s="4"/>
      <c r="H115" s="4"/>
      <c r="I115" s="4"/>
      <c r="J115" s="4"/>
      <c r="K115" s="4"/>
      <c r="L115" s="4"/>
      <c r="M115" s="4"/>
      <c r="N115" s="4"/>
      <c r="O115" s="4"/>
      <c r="P115" s="4"/>
      <c r="Q115" s="4"/>
      <c r="R115" s="4"/>
      <c r="S115" s="4"/>
      <c r="T115" s="4"/>
      <c r="U115" s="4"/>
      <c r="V115" s="4"/>
      <c r="W115" s="4"/>
      <c r="X115" s="4"/>
      <c r="Y115" s="4"/>
      <c r="Z115" s="4"/>
    </row>
    <row r="116" spans="1:26" ht="13.2">
      <c r="A116" s="10">
        <v>35</v>
      </c>
      <c r="B116" s="52" t="s">
        <v>532</v>
      </c>
      <c r="C116" s="16">
        <v>10</v>
      </c>
      <c r="D116" s="16">
        <v>300</v>
      </c>
      <c r="E116" s="16">
        <f t="shared" ref="E116:E118" si="10">C116*D116</f>
        <v>3000</v>
      </c>
      <c r="F116" s="56" t="s">
        <v>510</v>
      </c>
      <c r="G116" s="4"/>
      <c r="H116" s="4"/>
      <c r="I116" s="4"/>
      <c r="J116" s="4"/>
      <c r="K116" s="4"/>
      <c r="L116" s="4"/>
      <c r="M116" s="4"/>
      <c r="N116" s="4"/>
      <c r="O116" s="4"/>
      <c r="P116" s="4"/>
      <c r="Q116" s="4"/>
      <c r="R116" s="4"/>
      <c r="S116" s="4"/>
      <c r="T116" s="4"/>
      <c r="U116" s="4"/>
      <c r="V116" s="4"/>
      <c r="W116" s="4"/>
      <c r="X116" s="4"/>
      <c r="Y116" s="4"/>
      <c r="Z116" s="4"/>
    </row>
    <row r="117" spans="1:26" ht="13.2">
      <c r="A117" s="10">
        <v>36</v>
      </c>
      <c r="B117" s="52" t="s">
        <v>539</v>
      </c>
      <c r="C117" s="16">
        <v>25</v>
      </c>
      <c r="D117" s="16">
        <v>100</v>
      </c>
      <c r="E117" s="16">
        <f t="shared" si="10"/>
        <v>2500</v>
      </c>
      <c r="F117" s="52"/>
      <c r="G117" s="4"/>
      <c r="H117" s="4"/>
      <c r="I117" s="4"/>
      <c r="J117" s="4"/>
      <c r="K117" s="4"/>
      <c r="L117" s="4"/>
      <c r="M117" s="4"/>
      <c r="N117" s="4"/>
      <c r="O117" s="4"/>
      <c r="P117" s="4"/>
      <c r="Q117" s="4"/>
      <c r="R117" s="4"/>
      <c r="S117" s="4"/>
      <c r="T117" s="4"/>
      <c r="U117" s="4"/>
      <c r="V117" s="4"/>
      <c r="W117" s="4"/>
      <c r="X117" s="4"/>
      <c r="Y117" s="4"/>
      <c r="Z117" s="4"/>
    </row>
    <row r="118" spans="1:26" ht="13.2">
      <c r="A118" s="10">
        <v>37</v>
      </c>
      <c r="B118" s="52" t="s">
        <v>540</v>
      </c>
      <c r="C118" s="16">
        <v>1</v>
      </c>
      <c r="D118" s="16">
        <v>3000</v>
      </c>
      <c r="E118" s="16">
        <f t="shared" si="10"/>
        <v>3000</v>
      </c>
      <c r="F118" s="56" t="s">
        <v>510</v>
      </c>
      <c r="G118" s="4"/>
      <c r="H118" s="4"/>
      <c r="I118" s="4"/>
      <c r="J118" s="4"/>
      <c r="K118" s="4"/>
      <c r="L118" s="4"/>
      <c r="M118" s="4"/>
      <c r="N118" s="4"/>
      <c r="O118" s="4"/>
      <c r="P118" s="4"/>
      <c r="Q118" s="4"/>
      <c r="R118" s="4"/>
      <c r="S118" s="4"/>
      <c r="T118" s="4"/>
      <c r="U118" s="4"/>
      <c r="V118" s="4"/>
      <c r="W118" s="4"/>
      <c r="X118" s="4"/>
      <c r="Y118" s="4"/>
      <c r="Z118" s="4"/>
    </row>
    <row r="119" spans="1:26" ht="13.2">
      <c r="A119" s="10">
        <v>38</v>
      </c>
      <c r="B119" s="71" t="s">
        <v>543</v>
      </c>
      <c r="C119" s="71">
        <v>30</v>
      </c>
      <c r="D119" s="71">
        <v>120</v>
      </c>
      <c r="E119" s="71">
        <f t="shared" ref="E119:E120" si="11">(C119*D119)</f>
        <v>3600</v>
      </c>
      <c r="F119" s="104" t="s">
        <v>283</v>
      </c>
      <c r="G119" s="4"/>
      <c r="H119" s="4"/>
      <c r="I119" s="4"/>
      <c r="J119" s="4"/>
      <c r="K119" s="4"/>
      <c r="L119" s="4"/>
      <c r="M119" s="4"/>
      <c r="N119" s="4"/>
      <c r="O119" s="4"/>
      <c r="P119" s="4"/>
      <c r="Q119" s="4"/>
      <c r="R119" s="4"/>
      <c r="S119" s="4"/>
      <c r="T119" s="4"/>
      <c r="U119" s="4"/>
      <c r="V119" s="4"/>
      <c r="W119" s="4"/>
      <c r="X119" s="4"/>
      <c r="Y119" s="4"/>
      <c r="Z119" s="4"/>
    </row>
    <row r="120" spans="1:26" ht="13.2">
      <c r="A120" s="10">
        <v>39</v>
      </c>
      <c r="B120" s="71" t="s">
        <v>548</v>
      </c>
      <c r="C120" s="71">
        <v>50</v>
      </c>
      <c r="D120" s="71">
        <v>90</v>
      </c>
      <c r="E120" s="71">
        <f t="shared" si="11"/>
        <v>4500</v>
      </c>
      <c r="F120" s="104" t="s">
        <v>283</v>
      </c>
      <c r="G120" s="4"/>
      <c r="H120" s="4"/>
      <c r="I120" s="4"/>
      <c r="J120" s="4"/>
      <c r="K120" s="4"/>
      <c r="L120" s="4"/>
      <c r="M120" s="4"/>
      <c r="N120" s="4"/>
      <c r="O120" s="4"/>
      <c r="P120" s="4"/>
      <c r="Q120" s="4"/>
      <c r="R120" s="4"/>
      <c r="S120" s="4"/>
      <c r="T120" s="4"/>
      <c r="U120" s="4"/>
      <c r="V120" s="4"/>
      <c r="W120" s="4"/>
      <c r="X120" s="4"/>
      <c r="Y120" s="4"/>
      <c r="Z120" s="4"/>
    </row>
    <row r="121" spans="1:26" ht="13.2">
      <c r="A121" s="10">
        <v>40</v>
      </c>
      <c r="B121" s="71" t="s">
        <v>550</v>
      </c>
      <c r="C121" s="71">
        <v>11</v>
      </c>
      <c r="D121" s="71">
        <v>21</v>
      </c>
      <c r="E121" s="71">
        <f t="shared" ref="E121:E134" si="12">C121*D121</f>
        <v>231</v>
      </c>
      <c r="F121" s="104" t="s">
        <v>283</v>
      </c>
      <c r="G121" s="4"/>
      <c r="H121" s="4"/>
      <c r="I121" s="4"/>
      <c r="J121" s="4"/>
      <c r="K121" s="4"/>
      <c r="L121" s="4"/>
      <c r="M121" s="4"/>
      <c r="N121" s="4"/>
      <c r="O121" s="4"/>
      <c r="P121" s="4"/>
      <c r="Q121" s="4"/>
      <c r="R121" s="4"/>
      <c r="S121" s="4"/>
      <c r="T121" s="4"/>
      <c r="U121" s="4"/>
      <c r="V121" s="4"/>
      <c r="W121" s="4"/>
      <c r="X121" s="4"/>
      <c r="Y121" s="4"/>
      <c r="Z121" s="4"/>
    </row>
    <row r="122" spans="1:26" ht="13.2">
      <c r="A122" s="10">
        <v>41</v>
      </c>
      <c r="B122" s="71" t="s">
        <v>553</v>
      </c>
      <c r="C122" s="71">
        <v>5</v>
      </c>
      <c r="D122" s="71">
        <v>180</v>
      </c>
      <c r="E122" s="71">
        <f t="shared" si="12"/>
        <v>900</v>
      </c>
      <c r="F122" s="104" t="s">
        <v>554</v>
      </c>
      <c r="G122" s="4"/>
      <c r="H122" s="4"/>
      <c r="I122" s="4"/>
      <c r="J122" s="4"/>
      <c r="K122" s="4"/>
      <c r="L122" s="4"/>
      <c r="M122" s="4"/>
      <c r="N122" s="4"/>
      <c r="O122" s="4"/>
      <c r="P122" s="4"/>
      <c r="Q122" s="4"/>
      <c r="R122" s="4"/>
      <c r="S122" s="4"/>
      <c r="T122" s="4"/>
      <c r="U122" s="4"/>
      <c r="V122" s="4"/>
      <c r="W122" s="4"/>
      <c r="X122" s="4"/>
      <c r="Y122" s="4"/>
      <c r="Z122" s="4"/>
    </row>
    <row r="123" spans="1:26" ht="13.2">
      <c r="A123" s="10">
        <v>42</v>
      </c>
      <c r="B123" s="71" t="s">
        <v>555</v>
      </c>
      <c r="C123" s="71">
        <v>12</v>
      </c>
      <c r="D123" s="71">
        <v>200</v>
      </c>
      <c r="E123" s="71">
        <f t="shared" si="12"/>
        <v>2400</v>
      </c>
      <c r="F123" s="71"/>
      <c r="G123" s="4"/>
      <c r="H123" s="4"/>
      <c r="I123" s="4"/>
      <c r="J123" s="4"/>
      <c r="K123" s="4"/>
      <c r="L123" s="4"/>
      <c r="M123" s="4"/>
      <c r="N123" s="4"/>
      <c r="O123" s="4"/>
      <c r="P123" s="4"/>
      <c r="Q123" s="4"/>
      <c r="R123" s="4"/>
      <c r="S123" s="4"/>
      <c r="T123" s="4"/>
      <c r="U123" s="4"/>
      <c r="V123" s="4"/>
      <c r="W123" s="4"/>
      <c r="X123" s="4"/>
      <c r="Y123" s="4"/>
      <c r="Z123" s="4"/>
    </row>
    <row r="124" spans="1:26" ht="13.2">
      <c r="A124" s="10">
        <v>43</v>
      </c>
      <c r="B124" s="71" t="s">
        <v>558</v>
      </c>
      <c r="C124" s="71">
        <v>30</v>
      </c>
      <c r="D124" s="71">
        <v>77</v>
      </c>
      <c r="E124" s="71">
        <f t="shared" si="12"/>
        <v>2310</v>
      </c>
      <c r="F124" s="104" t="s">
        <v>466</v>
      </c>
      <c r="G124" s="4"/>
      <c r="H124" s="4"/>
      <c r="I124" s="4"/>
      <c r="J124" s="4"/>
      <c r="K124" s="4"/>
      <c r="L124" s="4"/>
      <c r="M124" s="4"/>
      <c r="N124" s="4"/>
      <c r="O124" s="4"/>
      <c r="P124" s="4"/>
      <c r="Q124" s="4"/>
      <c r="R124" s="4"/>
      <c r="S124" s="4"/>
      <c r="T124" s="4"/>
      <c r="U124" s="4"/>
      <c r="V124" s="4"/>
      <c r="W124" s="4"/>
      <c r="X124" s="4"/>
      <c r="Y124" s="4"/>
      <c r="Z124" s="4"/>
    </row>
    <row r="125" spans="1:26" ht="13.2">
      <c r="A125" s="10">
        <v>44</v>
      </c>
      <c r="B125" s="71" t="s">
        <v>561</v>
      </c>
      <c r="C125" s="71">
        <v>20</v>
      </c>
      <c r="D125" s="71">
        <v>480</v>
      </c>
      <c r="E125" s="71">
        <f t="shared" si="12"/>
        <v>9600</v>
      </c>
      <c r="F125" s="104" t="s">
        <v>385</v>
      </c>
      <c r="G125" s="4"/>
      <c r="H125" s="4"/>
      <c r="I125" s="4"/>
      <c r="J125" s="4"/>
      <c r="K125" s="4"/>
      <c r="L125" s="4"/>
      <c r="M125" s="4"/>
      <c r="N125" s="4"/>
      <c r="O125" s="4"/>
      <c r="P125" s="4"/>
      <c r="Q125" s="4"/>
      <c r="R125" s="4"/>
      <c r="S125" s="4"/>
      <c r="T125" s="4"/>
      <c r="U125" s="4"/>
      <c r="V125" s="4"/>
      <c r="W125" s="4"/>
      <c r="X125" s="4"/>
      <c r="Y125" s="4"/>
      <c r="Z125" s="4"/>
    </row>
    <row r="126" spans="1:26" ht="13.2">
      <c r="A126" s="10">
        <v>45</v>
      </c>
      <c r="B126" s="71" t="s">
        <v>562</v>
      </c>
      <c r="C126" s="71">
        <v>4</v>
      </c>
      <c r="D126" s="71">
        <v>224</v>
      </c>
      <c r="E126" s="71">
        <f t="shared" si="12"/>
        <v>896</v>
      </c>
      <c r="F126" s="104" t="s">
        <v>283</v>
      </c>
      <c r="G126" s="4"/>
      <c r="H126" s="4"/>
      <c r="I126" s="4"/>
      <c r="J126" s="4"/>
      <c r="K126" s="4"/>
      <c r="L126" s="4"/>
      <c r="M126" s="4"/>
      <c r="N126" s="4"/>
      <c r="O126" s="4"/>
      <c r="P126" s="4"/>
      <c r="Q126" s="4"/>
      <c r="R126" s="4"/>
      <c r="S126" s="4"/>
      <c r="T126" s="4"/>
      <c r="U126" s="4"/>
      <c r="V126" s="4"/>
      <c r="W126" s="4"/>
      <c r="X126" s="4"/>
      <c r="Y126" s="4"/>
      <c r="Z126" s="4"/>
    </row>
    <row r="127" spans="1:26" ht="13.2">
      <c r="A127" s="10">
        <v>46</v>
      </c>
      <c r="B127" s="71" t="s">
        <v>564</v>
      </c>
      <c r="C127" s="71">
        <v>2</v>
      </c>
      <c r="D127" s="71">
        <v>135</v>
      </c>
      <c r="E127" s="71">
        <f t="shared" si="12"/>
        <v>270</v>
      </c>
      <c r="F127" s="104" t="s">
        <v>283</v>
      </c>
      <c r="G127" s="4"/>
      <c r="H127" s="4"/>
      <c r="I127" s="4"/>
      <c r="J127" s="4"/>
      <c r="K127" s="4"/>
      <c r="L127" s="4"/>
      <c r="M127" s="4"/>
      <c r="N127" s="4"/>
      <c r="O127" s="4"/>
      <c r="P127" s="4"/>
      <c r="Q127" s="4"/>
      <c r="R127" s="4"/>
      <c r="S127" s="4"/>
      <c r="T127" s="4"/>
      <c r="U127" s="4"/>
      <c r="V127" s="4"/>
      <c r="W127" s="4"/>
      <c r="X127" s="4"/>
      <c r="Y127" s="4"/>
      <c r="Z127" s="4"/>
    </row>
    <row r="128" spans="1:26" ht="13.2">
      <c r="A128" s="10">
        <v>47</v>
      </c>
      <c r="B128" s="71" t="s">
        <v>567</v>
      </c>
      <c r="C128" s="71">
        <v>10</v>
      </c>
      <c r="D128" s="71">
        <v>35</v>
      </c>
      <c r="E128" s="71">
        <f t="shared" si="12"/>
        <v>350</v>
      </c>
      <c r="F128" s="104" t="s">
        <v>283</v>
      </c>
      <c r="G128" s="4"/>
      <c r="H128" s="4"/>
      <c r="I128" s="4"/>
      <c r="J128" s="4"/>
      <c r="K128" s="4"/>
      <c r="L128" s="4"/>
      <c r="M128" s="4"/>
      <c r="N128" s="4"/>
      <c r="O128" s="4"/>
      <c r="P128" s="4"/>
      <c r="Q128" s="4"/>
      <c r="R128" s="4"/>
      <c r="S128" s="4"/>
      <c r="T128" s="4"/>
      <c r="U128" s="4"/>
      <c r="V128" s="4"/>
      <c r="W128" s="4"/>
      <c r="X128" s="4"/>
      <c r="Y128" s="4"/>
      <c r="Z128" s="4"/>
    </row>
    <row r="129" spans="1:26" ht="13.2">
      <c r="A129" s="10">
        <v>48</v>
      </c>
      <c r="B129" s="71" t="s">
        <v>570</v>
      </c>
      <c r="C129" s="71">
        <v>30</v>
      </c>
      <c r="D129" s="71">
        <v>150</v>
      </c>
      <c r="E129" s="71">
        <f t="shared" si="12"/>
        <v>4500</v>
      </c>
      <c r="F129" s="71"/>
      <c r="G129" s="4"/>
      <c r="H129" s="4"/>
      <c r="I129" s="4"/>
      <c r="J129" s="4"/>
      <c r="K129" s="4"/>
      <c r="L129" s="4"/>
      <c r="M129" s="4"/>
      <c r="N129" s="4"/>
      <c r="O129" s="4"/>
      <c r="P129" s="4"/>
      <c r="Q129" s="4"/>
      <c r="R129" s="4"/>
      <c r="S129" s="4"/>
      <c r="T129" s="4"/>
      <c r="U129" s="4"/>
      <c r="V129" s="4"/>
      <c r="W129" s="4"/>
      <c r="X129" s="4"/>
      <c r="Y129" s="4"/>
      <c r="Z129" s="4"/>
    </row>
    <row r="130" spans="1:26" ht="13.2">
      <c r="A130" s="10">
        <v>49</v>
      </c>
      <c r="B130" s="71" t="s">
        <v>571</v>
      </c>
      <c r="C130" s="71">
        <v>6</v>
      </c>
      <c r="D130" s="71">
        <v>300</v>
      </c>
      <c r="E130" s="71">
        <f t="shared" si="12"/>
        <v>1800</v>
      </c>
      <c r="F130" s="104" t="s">
        <v>283</v>
      </c>
      <c r="G130" s="4"/>
      <c r="H130" s="4"/>
      <c r="I130" s="4"/>
      <c r="J130" s="4"/>
      <c r="K130" s="4"/>
      <c r="L130" s="4"/>
      <c r="M130" s="4"/>
      <c r="N130" s="4"/>
      <c r="O130" s="4"/>
      <c r="P130" s="4"/>
      <c r="Q130" s="4"/>
      <c r="R130" s="4"/>
      <c r="S130" s="4"/>
      <c r="T130" s="4"/>
      <c r="U130" s="4"/>
      <c r="V130" s="4"/>
      <c r="W130" s="4"/>
      <c r="X130" s="4"/>
      <c r="Y130" s="4"/>
      <c r="Z130" s="4"/>
    </row>
    <row r="131" spans="1:26" ht="13.2">
      <c r="A131" s="10">
        <v>50</v>
      </c>
      <c r="B131" s="71" t="s">
        <v>572</v>
      </c>
      <c r="C131" s="71">
        <v>10</v>
      </c>
      <c r="D131" s="71">
        <v>399</v>
      </c>
      <c r="E131" s="71">
        <f t="shared" si="12"/>
        <v>3990</v>
      </c>
      <c r="F131" s="104" t="s">
        <v>283</v>
      </c>
      <c r="G131" s="4"/>
      <c r="H131" s="4"/>
      <c r="I131" s="4"/>
      <c r="J131" s="4"/>
      <c r="K131" s="4"/>
      <c r="L131" s="4"/>
      <c r="M131" s="4"/>
      <c r="N131" s="4"/>
      <c r="O131" s="4"/>
      <c r="P131" s="4"/>
      <c r="Q131" s="4"/>
      <c r="R131" s="4"/>
      <c r="S131" s="4"/>
      <c r="T131" s="4"/>
      <c r="U131" s="4"/>
      <c r="V131" s="4"/>
      <c r="W131" s="4"/>
      <c r="X131" s="4"/>
      <c r="Y131" s="4"/>
      <c r="Z131" s="4"/>
    </row>
    <row r="132" spans="1:26" ht="13.2">
      <c r="A132" s="10">
        <v>51</v>
      </c>
      <c r="B132" s="71" t="s">
        <v>573</v>
      </c>
      <c r="C132" s="71">
        <v>6</v>
      </c>
      <c r="D132" s="71">
        <v>150</v>
      </c>
      <c r="E132" s="71">
        <f t="shared" si="12"/>
        <v>900</v>
      </c>
      <c r="F132" s="71"/>
      <c r="G132" s="4"/>
      <c r="H132" s="4"/>
      <c r="I132" s="4"/>
      <c r="J132" s="4"/>
      <c r="K132" s="4"/>
      <c r="L132" s="4"/>
      <c r="M132" s="4"/>
      <c r="N132" s="4"/>
      <c r="O132" s="4"/>
      <c r="P132" s="4"/>
      <c r="Q132" s="4"/>
      <c r="R132" s="4"/>
      <c r="S132" s="4"/>
      <c r="T132" s="4"/>
      <c r="U132" s="4"/>
      <c r="V132" s="4"/>
      <c r="W132" s="4"/>
      <c r="X132" s="4"/>
      <c r="Y132" s="4"/>
      <c r="Z132" s="4"/>
    </row>
    <row r="133" spans="1:26" ht="13.2">
      <c r="A133" s="10">
        <v>52</v>
      </c>
      <c r="B133" s="71" t="s">
        <v>574</v>
      </c>
      <c r="C133" s="71">
        <v>10</v>
      </c>
      <c r="D133" s="71">
        <v>130</v>
      </c>
      <c r="E133" s="71">
        <f t="shared" si="12"/>
        <v>1300</v>
      </c>
      <c r="F133" s="71"/>
      <c r="G133" s="4"/>
      <c r="H133" s="4"/>
      <c r="I133" s="4"/>
      <c r="J133" s="4"/>
      <c r="K133" s="4"/>
      <c r="L133" s="4"/>
      <c r="M133" s="4"/>
      <c r="N133" s="4"/>
      <c r="O133" s="4"/>
      <c r="P133" s="4"/>
      <c r="Q133" s="4"/>
      <c r="R133" s="4"/>
      <c r="S133" s="4"/>
      <c r="T133" s="4"/>
      <c r="U133" s="4"/>
      <c r="V133" s="4"/>
      <c r="W133" s="4"/>
      <c r="X133" s="4"/>
      <c r="Y133" s="4"/>
      <c r="Z133" s="4"/>
    </row>
    <row r="134" spans="1:26" ht="13.2">
      <c r="A134" s="10">
        <v>53</v>
      </c>
      <c r="B134" s="71" t="s">
        <v>575</v>
      </c>
      <c r="C134" s="71">
        <v>17</v>
      </c>
      <c r="D134" s="71">
        <v>139</v>
      </c>
      <c r="E134" s="71">
        <f t="shared" si="12"/>
        <v>2363</v>
      </c>
      <c r="F134" s="104" t="s">
        <v>283</v>
      </c>
      <c r="G134" s="4"/>
      <c r="H134" s="4"/>
      <c r="I134" s="4"/>
      <c r="J134" s="4"/>
      <c r="K134" s="4"/>
      <c r="L134" s="4"/>
      <c r="M134" s="4"/>
      <c r="N134" s="4"/>
      <c r="O134" s="4"/>
      <c r="P134" s="4"/>
      <c r="Q134" s="4"/>
      <c r="R134" s="4"/>
      <c r="S134" s="4"/>
      <c r="T134" s="4"/>
      <c r="U134" s="4"/>
      <c r="V134" s="4"/>
      <c r="W134" s="4"/>
      <c r="X134" s="4"/>
      <c r="Y134" s="4"/>
      <c r="Z134" s="4"/>
    </row>
    <row r="135" spans="1:26" ht="13.2">
      <c r="A135" s="10">
        <v>54</v>
      </c>
      <c r="B135" s="71" t="s">
        <v>578</v>
      </c>
      <c r="C135" s="71">
        <v>50</v>
      </c>
      <c r="D135" s="71">
        <v>10</v>
      </c>
      <c r="E135" s="71">
        <v>500</v>
      </c>
      <c r="F135" s="104" t="s">
        <v>283</v>
      </c>
      <c r="G135" s="4"/>
      <c r="H135" s="4"/>
      <c r="I135" s="4"/>
      <c r="J135" s="4"/>
      <c r="K135" s="4"/>
      <c r="L135" s="4"/>
      <c r="M135" s="4"/>
      <c r="N135" s="4"/>
      <c r="O135" s="4"/>
      <c r="P135" s="4"/>
      <c r="Q135" s="4"/>
      <c r="R135" s="4"/>
      <c r="S135" s="4"/>
      <c r="T135" s="4"/>
      <c r="U135" s="4"/>
      <c r="V135" s="4"/>
      <c r="W135" s="4"/>
      <c r="X135" s="4"/>
      <c r="Y135" s="4"/>
      <c r="Z135" s="4"/>
    </row>
    <row r="136" spans="1:26" ht="13.2">
      <c r="A136" s="10">
        <v>55</v>
      </c>
      <c r="B136" s="71" t="s">
        <v>579</v>
      </c>
      <c r="C136" s="71">
        <v>8</v>
      </c>
      <c r="D136" s="71">
        <v>300</v>
      </c>
      <c r="E136" s="71">
        <f>C136*D136</f>
        <v>2400</v>
      </c>
      <c r="F136" s="71"/>
      <c r="G136" s="4"/>
      <c r="H136" s="4"/>
      <c r="I136" s="4"/>
      <c r="J136" s="4"/>
      <c r="K136" s="4"/>
      <c r="L136" s="4"/>
      <c r="M136" s="4"/>
      <c r="N136" s="4"/>
      <c r="O136" s="4"/>
      <c r="P136" s="4"/>
      <c r="Q136" s="4"/>
      <c r="R136" s="4"/>
      <c r="S136" s="4"/>
      <c r="T136" s="4"/>
      <c r="U136" s="4"/>
      <c r="V136" s="4"/>
      <c r="W136" s="4"/>
      <c r="X136" s="4"/>
      <c r="Y136" s="4"/>
      <c r="Z136" s="4"/>
    </row>
    <row r="137" spans="1:26" ht="13.2">
      <c r="A137" s="10">
        <v>56</v>
      </c>
      <c r="B137" s="71" t="s">
        <v>580</v>
      </c>
      <c r="C137" s="71">
        <v>100</v>
      </c>
      <c r="D137" s="71">
        <v>3</v>
      </c>
      <c r="E137" s="71">
        <f t="shared" ref="E137:E146" si="13">D137*C137</f>
        <v>300</v>
      </c>
      <c r="F137" s="104" t="s">
        <v>385</v>
      </c>
      <c r="G137" s="4"/>
      <c r="H137" s="4"/>
      <c r="I137" s="4"/>
      <c r="J137" s="4"/>
      <c r="K137" s="4"/>
      <c r="L137" s="4"/>
      <c r="M137" s="4"/>
      <c r="N137" s="4"/>
      <c r="O137" s="4"/>
      <c r="P137" s="4"/>
      <c r="Q137" s="4"/>
      <c r="R137" s="4"/>
      <c r="S137" s="4"/>
      <c r="T137" s="4"/>
      <c r="U137" s="4"/>
      <c r="V137" s="4"/>
      <c r="W137" s="4"/>
      <c r="X137" s="4"/>
      <c r="Y137" s="4"/>
      <c r="Z137" s="4"/>
    </row>
    <row r="138" spans="1:26" ht="13.2">
      <c r="A138" s="10">
        <v>57</v>
      </c>
      <c r="B138" s="71" t="s">
        <v>583</v>
      </c>
      <c r="C138" s="71">
        <v>7</v>
      </c>
      <c r="D138" s="71">
        <v>130</v>
      </c>
      <c r="E138" s="71">
        <f t="shared" si="13"/>
        <v>910</v>
      </c>
      <c r="F138" s="104" t="s">
        <v>283</v>
      </c>
      <c r="G138" s="4"/>
      <c r="H138" s="4"/>
      <c r="I138" s="4"/>
      <c r="J138" s="4"/>
      <c r="K138" s="4"/>
      <c r="L138" s="4"/>
      <c r="M138" s="4"/>
      <c r="N138" s="4"/>
      <c r="O138" s="4"/>
      <c r="P138" s="4"/>
      <c r="Q138" s="4"/>
      <c r="R138" s="4"/>
      <c r="S138" s="4"/>
      <c r="T138" s="4"/>
      <c r="U138" s="4"/>
      <c r="V138" s="4"/>
      <c r="W138" s="4"/>
      <c r="X138" s="4"/>
      <c r="Y138" s="4"/>
      <c r="Z138" s="4"/>
    </row>
    <row r="139" spans="1:26" ht="13.2">
      <c r="A139" s="10">
        <v>58</v>
      </c>
      <c r="B139" s="71" t="s">
        <v>587</v>
      </c>
      <c r="C139" s="71">
        <v>18</v>
      </c>
      <c r="D139" s="71">
        <v>169</v>
      </c>
      <c r="E139" s="71">
        <f t="shared" si="13"/>
        <v>3042</v>
      </c>
      <c r="F139" s="104" t="s">
        <v>283</v>
      </c>
      <c r="G139" s="4"/>
      <c r="H139" s="4"/>
      <c r="I139" s="4"/>
      <c r="J139" s="4"/>
      <c r="K139" s="4"/>
      <c r="L139" s="4"/>
      <c r="M139" s="4"/>
      <c r="N139" s="4"/>
      <c r="O139" s="4"/>
      <c r="P139" s="4"/>
      <c r="Q139" s="4"/>
      <c r="R139" s="4"/>
      <c r="S139" s="4"/>
      <c r="T139" s="4"/>
      <c r="U139" s="4"/>
      <c r="V139" s="4"/>
      <c r="W139" s="4"/>
      <c r="X139" s="4"/>
      <c r="Y139" s="4"/>
      <c r="Z139" s="4"/>
    </row>
    <row r="140" spans="1:26" ht="13.2">
      <c r="A140" s="10">
        <v>59</v>
      </c>
      <c r="B140" s="71" t="s">
        <v>591</v>
      </c>
      <c r="C140" s="71">
        <v>5</v>
      </c>
      <c r="D140" s="71">
        <v>240</v>
      </c>
      <c r="E140" s="71">
        <f t="shared" si="13"/>
        <v>1200</v>
      </c>
      <c r="F140" s="104" t="s">
        <v>283</v>
      </c>
      <c r="G140" s="4"/>
      <c r="H140" s="4"/>
      <c r="I140" s="4"/>
      <c r="J140" s="4"/>
      <c r="K140" s="4"/>
      <c r="L140" s="4"/>
      <c r="M140" s="4"/>
      <c r="N140" s="4"/>
      <c r="O140" s="4"/>
      <c r="P140" s="4"/>
      <c r="Q140" s="4"/>
      <c r="R140" s="4"/>
      <c r="S140" s="4"/>
      <c r="T140" s="4"/>
      <c r="U140" s="4"/>
      <c r="V140" s="4"/>
      <c r="W140" s="4"/>
      <c r="X140" s="4"/>
      <c r="Y140" s="4"/>
      <c r="Z140" s="4"/>
    </row>
    <row r="141" spans="1:26" ht="13.2">
      <c r="A141" s="10">
        <v>60</v>
      </c>
      <c r="B141" s="71" t="s">
        <v>596</v>
      </c>
      <c r="C141" s="71">
        <v>12</v>
      </c>
      <c r="D141" s="71">
        <v>33</v>
      </c>
      <c r="E141" s="71">
        <f t="shared" si="13"/>
        <v>396</v>
      </c>
      <c r="F141" s="104" t="s">
        <v>283</v>
      </c>
      <c r="G141" s="4"/>
      <c r="H141" s="4"/>
      <c r="I141" s="4"/>
      <c r="J141" s="4"/>
      <c r="K141" s="4"/>
      <c r="L141" s="4"/>
      <c r="M141" s="4"/>
      <c r="N141" s="4"/>
      <c r="O141" s="4"/>
      <c r="P141" s="4"/>
      <c r="Q141" s="4"/>
      <c r="R141" s="4"/>
      <c r="S141" s="4"/>
      <c r="T141" s="4"/>
      <c r="U141" s="4"/>
      <c r="V141" s="4"/>
      <c r="W141" s="4"/>
      <c r="X141" s="4"/>
      <c r="Y141" s="4"/>
      <c r="Z141" s="4"/>
    </row>
    <row r="142" spans="1:26" ht="13.2">
      <c r="A142" s="10">
        <v>61</v>
      </c>
      <c r="B142" s="71" t="s">
        <v>597</v>
      </c>
      <c r="C142" s="71">
        <v>1</v>
      </c>
      <c r="D142" s="71">
        <v>156</v>
      </c>
      <c r="E142" s="71">
        <f t="shared" si="13"/>
        <v>156</v>
      </c>
      <c r="F142" s="104" t="s">
        <v>283</v>
      </c>
      <c r="G142" s="4"/>
      <c r="H142" s="4"/>
      <c r="I142" s="4"/>
      <c r="J142" s="4"/>
      <c r="K142" s="4"/>
      <c r="L142" s="4"/>
      <c r="M142" s="4"/>
      <c r="N142" s="4"/>
      <c r="O142" s="4"/>
      <c r="P142" s="4"/>
      <c r="Q142" s="4"/>
      <c r="R142" s="4"/>
      <c r="S142" s="4"/>
      <c r="T142" s="4"/>
      <c r="U142" s="4"/>
      <c r="V142" s="4"/>
      <c r="W142" s="4"/>
      <c r="X142" s="4"/>
      <c r="Y142" s="4"/>
      <c r="Z142" s="4"/>
    </row>
    <row r="143" spans="1:26" ht="13.2">
      <c r="A143" s="10">
        <v>62</v>
      </c>
      <c r="B143" s="71" t="s">
        <v>598</v>
      </c>
      <c r="C143" s="71">
        <v>15</v>
      </c>
      <c r="D143" s="71">
        <v>41</v>
      </c>
      <c r="E143" s="71">
        <f t="shared" si="13"/>
        <v>615</v>
      </c>
      <c r="F143" s="104" t="s">
        <v>283</v>
      </c>
      <c r="G143" s="4"/>
      <c r="H143" s="4"/>
      <c r="I143" s="4"/>
      <c r="J143" s="4"/>
      <c r="K143" s="4"/>
      <c r="L143" s="4"/>
      <c r="M143" s="4"/>
      <c r="N143" s="4"/>
      <c r="O143" s="4"/>
      <c r="P143" s="4"/>
      <c r="Q143" s="4"/>
      <c r="R143" s="4"/>
      <c r="S143" s="4"/>
      <c r="T143" s="4"/>
      <c r="U143" s="4"/>
      <c r="V143" s="4"/>
      <c r="W143" s="4"/>
      <c r="X143" s="4"/>
      <c r="Y143" s="4"/>
      <c r="Z143" s="4"/>
    </row>
    <row r="144" spans="1:26" ht="13.2">
      <c r="A144" s="10">
        <v>63</v>
      </c>
      <c r="B144" s="71" t="s">
        <v>602</v>
      </c>
      <c r="C144" s="71">
        <v>10</v>
      </c>
      <c r="D144" s="71">
        <v>50</v>
      </c>
      <c r="E144" s="71">
        <f t="shared" si="13"/>
        <v>500</v>
      </c>
      <c r="F144" s="71" t="s">
        <v>402</v>
      </c>
      <c r="G144" s="4"/>
      <c r="H144" s="4"/>
      <c r="I144" s="4"/>
      <c r="J144" s="4"/>
      <c r="K144" s="4"/>
      <c r="L144" s="4"/>
      <c r="M144" s="4"/>
      <c r="N144" s="4"/>
      <c r="O144" s="4"/>
      <c r="P144" s="4"/>
      <c r="Q144" s="4"/>
      <c r="R144" s="4"/>
      <c r="S144" s="4"/>
      <c r="T144" s="4"/>
      <c r="U144" s="4"/>
      <c r="V144" s="4"/>
      <c r="W144" s="4"/>
      <c r="X144" s="4"/>
      <c r="Y144" s="4"/>
      <c r="Z144" s="4"/>
    </row>
    <row r="145" spans="1:26" ht="13.2">
      <c r="A145" s="10">
        <v>64</v>
      </c>
      <c r="B145" s="71" t="s">
        <v>603</v>
      </c>
      <c r="C145" s="71">
        <v>40</v>
      </c>
      <c r="D145" s="71">
        <v>90</v>
      </c>
      <c r="E145" s="71">
        <f t="shared" si="13"/>
        <v>3600</v>
      </c>
      <c r="F145" s="104" t="s">
        <v>283</v>
      </c>
      <c r="G145" s="4"/>
      <c r="H145" s="4"/>
      <c r="I145" s="4"/>
      <c r="J145" s="4"/>
      <c r="K145" s="4"/>
      <c r="L145" s="4"/>
      <c r="M145" s="4"/>
      <c r="N145" s="4"/>
      <c r="O145" s="4"/>
      <c r="P145" s="4"/>
      <c r="Q145" s="4"/>
      <c r="R145" s="4"/>
      <c r="S145" s="4"/>
      <c r="T145" s="4"/>
      <c r="U145" s="4"/>
      <c r="V145" s="4"/>
      <c r="W145" s="4"/>
      <c r="X145" s="4"/>
      <c r="Y145" s="4"/>
      <c r="Z145" s="4"/>
    </row>
    <row r="146" spans="1:26" ht="13.2">
      <c r="A146" s="10">
        <v>65</v>
      </c>
      <c r="B146" s="71" t="s">
        <v>604</v>
      </c>
      <c r="C146" s="71">
        <v>15</v>
      </c>
      <c r="D146" s="71">
        <v>229</v>
      </c>
      <c r="E146" s="71">
        <f t="shared" si="13"/>
        <v>3435</v>
      </c>
      <c r="F146" s="104" t="s">
        <v>283</v>
      </c>
      <c r="G146" s="4"/>
      <c r="H146" s="4"/>
      <c r="I146" s="4"/>
      <c r="J146" s="4"/>
      <c r="K146" s="4"/>
      <c r="L146" s="4"/>
      <c r="M146" s="4"/>
      <c r="N146" s="4"/>
      <c r="O146" s="4"/>
      <c r="P146" s="4"/>
      <c r="Q146" s="4"/>
      <c r="R146" s="4"/>
      <c r="S146" s="4"/>
      <c r="T146" s="4"/>
      <c r="U146" s="4"/>
      <c r="V146" s="4"/>
      <c r="W146" s="4"/>
      <c r="X146" s="4"/>
      <c r="Y146" s="4"/>
      <c r="Z146" s="4"/>
    </row>
    <row r="147" spans="1:26" ht="13.2">
      <c r="A147" s="10">
        <v>66</v>
      </c>
      <c r="B147" s="71" t="s">
        <v>605</v>
      </c>
      <c r="C147" s="71">
        <v>20</v>
      </c>
      <c r="D147" s="71">
        <v>26</v>
      </c>
      <c r="E147" s="71">
        <f t="shared" ref="E147:E151" si="14">C147*D147</f>
        <v>520</v>
      </c>
      <c r="F147" s="104" t="s">
        <v>283</v>
      </c>
      <c r="G147" s="4"/>
      <c r="H147" s="4"/>
      <c r="I147" s="4"/>
      <c r="J147" s="4"/>
      <c r="K147" s="4"/>
      <c r="L147" s="4"/>
      <c r="M147" s="4"/>
      <c r="N147" s="4"/>
      <c r="O147" s="4"/>
      <c r="P147" s="4"/>
      <c r="Q147" s="4"/>
      <c r="R147" s="4"/>
      <c r="S147" s="4"/>
      <c r="T147" s="4"/>
      <c r="U147" s="4"/>
      <c r="V147" s="4"/>
      <c r="W147" s="4"/>
      <c r="X147" s="4"/>
      <c r="Y147" s="4"/>
      <c r="Z147" s="4"/>
    </row>
    <row r="148" spans="1:26" ht="13.2">
      <c r="A148" s="10">
        <v>67</v>
      </c>
      <c r="B148" s="71" t="s">
        <v>606</v>
      </c>
      <c r="C148" s="71">
        <v>100</v>
      </c>
      <c r="D148" s="71">
        <v>42</v>
      </c>
      <c r="E148" s="71">
        <f t="shared" si="14"/>
        <v>4200</v>
      </c>
      <c r="F148" s="104" t="s">
        <v>283</v>
      </c>
      <c r="G148" s="4"/>
      <c r="H148" s="4"/>
      <c r="I148" s="4"/>
      <c r="J148" s="4"/>
      <c r="K148" s="4"/>
      <c r="L148" s="4"/>
      <c r="M148" s="4"/>
      <c r="N148" s="4"/>
      <c r="O148" s="4"/>
      <c r="P148" s="4"/>
      <c r="Q148" s="4"/>
      <c r="R148" s="4"/>
      <c r="S148" s="4"/>
      <c r="T148" s="4"/>
      <c r="U148" s="4"/>
      <c r="V148" s="4"/>
      <c r="W148" s="4"/>
      <c r="X148" s="4"/>
      <c r="Y148" s="4"/>
      <c r="Z148" s="4"/>
    </row>
    <row r="149" spans="1:26" ht="13.2">
      <c r="A149" s="10">
        <v>68</v>
      </c>
      <c r="B149" s="71" t="s">
        <v>607</v>
      </c>
      <c r="C149" s="71">
        <v>100</v>
      </c>
      <c r="D149" s="71">
        <v>25</v>
      </c>
      <c r="E149" s="71">
        <f t="shared" si="14"/>
        <v>2500</v>
      </c>
      <c r="F149" s="104" t="s">
        <v>283</v>
      </c>
      <c r="G149" s="4"/>
      <c r="H149" s="4"/>
      <c r="I149" s="4"/>
      <c r="J149" s="4"/>
      <c r="K149" s="4"/>
      <c r="L149" s="4"/>
      <c r="M149" s="4"/>
      <c r="N149" s="4"/>
      <c r="O149" s="4"/>
      <c r="P149" s="4"/>
      <c r="Q149" s="4"/>
      <c r="R149" s="4"/>
      <c r="S149" s="4"/>
      <c r="T149" s="4"/>
      <c r="U149" s="4"/>
      <c r="V149" s="4"/>
      <c r="W149" s="4"/>
      <c r="X149" s="4"/>
      <c r="Y149" s="4"/>
      <c r="Z149" s="4"/>
    </row>
    <row r="150" spans="1:26" ht="13.2">
      <c r="A150" s="10">
        <v>69</v>
      </c>
      <c r="B150" s="71" t="s">
        <v>608</v>
      </c>
      <c r="C150" s="71">
        <v>15</v>
      </c>
      <c r="D150" s="71">
        <v>134</v>
      </c>
      <c r="E150" s="71">
        <f t="shared" si="14"/>
        <v>2010</v>
      </c>
      <c r="F150" s="104" t="s">
        <v>283</v>
      </c>
      <c r="G150" s="4"/>
      <c r="H150" s="4"/>
      <c r="I150" s="4"/>
      <c r="J150" s="4"/>
      <c r="K150" s="4"/>
      <c r="L150" s="4"/>
      <c r="M150" s="4"/>
      <c r="N150" s="4"/>
      <c r="O150" s="4"/>
      <c r="P150" s="4"/>
      <c r="Q150" s="4"/>
      <c r="R150" s="4"/>
      <c r="S150" s="4"/>
      <c r="T150" s="4"/>
      <c r="U150" s="4"/>
      <c r="V150" s="4"/>
      <c r="W150" s="4"/>
      <c r="X150" s="4"/>
      <c r="Y150" s="4"/>
      <c r="Z150" s="4"/>
    </row>
    <row r="151" spans="1:26" ht="13.2">
      <c r="A151" s="10">
        <v>70</v>
      </c>
      <c r="B151" s="71" t="s">
        <v>609</v>
      </c>
      <c r="C151" s="71">
        <v>16</v>
      </c>
      <c r="D151" s="71">
        <v>76</v>
      </c>
      <c r="E151" s="71">
        <f t="shared" si="14"/>
        <v>1216</v>
      </c>
      <c r="F151" s="104" t="s">
        <v>283</v>
      </c>
      <c r="G151" s="4"/>
      <c r="H151" s="4"/>
      <c r="I151" s="4"/>
      <c r="J151" s="4"/>
      <c r="K151" s="4"/>
      <c r="L151" s="4"/>
      <c r="M151" s="4"/>
      <c r="N151" s="4"/>
      <c r="O151" s="4"/>
      <c r="P151" s="4"/>
      <c r="Q151" s="4"/>
      <c r="R151" s="4"/>
      <c r="S151" s="4"/>
      <c r="T151" s="4"/>
      <c r="U151" s="4"/>
      <c r="V151" s="4"/>
      <c r="W151" s="4"/>
      <c r="X151" s="4"/>
      <c r="Y151" s="4"/>
      <c r="Z151" s="4"/>
    </row>
    <row r="152" spans="1:26" ht="13.2">
      <c r="A152" s="10">
        <v>71</v>
      </c>
      <c r="B152" s="52" t="s">
        <v>610</v>
      </c>
      <c r="C152" s="16">
        <v>1</v>
      </c>
      <c r="D152" s="16">
        <v>22949</v>
      </c>
      <c r="E152" s="16">
        <f t="shared" ref="E152:E182" si="15">D152*C152</f>
        <v>22949</v>
      </c>
      <c r="F152" s="56" t="s">
        <v>69</v>
      </c>
      <c r="G152" s="4"/>
      <c r="H152" s="4"/>
      <c r="I152" s="4"/>
      <c r="J152" s="4"/>
      <c r="K152" s="4"/>
      <c r="L152" s="4"/>
      <c r="M152" s="4"/>
      <c r="N152" s="4"/>
      <c r="O152" s="4"/>
      <c r="P152" s="4"/>
      <c r="Q152" s="4"/>
      <c r="R152" s="4"/>
      <c r="S152" s="4"/>
      <c r="T152" s="4"/>
      <c r="U152" s="4"/>
      <c r="V152" s="4"/>
      <c r="W152" s="4"/>
      <c r="X152" s="4"/>
      <c r="Y152" s="4"/>
      <c r="Z152" s="4"/>
    </row>
    <row r="153" spans="1:26" ht="13.2">
      <c r="A153" s="10">
        <v>72</v>
      </c>
      <c r="B153" s="52" t="s">
        <v>611</v>
      </c>
      <c r="C153" s="16">
        <v>3</v>
      </c>
      <c r="D153" s="16">
        <v>103</v>
      </c>
      <c r="E153" s="16">
        <f t="shared" si="15"/>
        <v>309</v>
      </c>
      <c r="F153" s="56" t="s">
        <v>69</v>
      </c>
      <c r="G153" s="4"/>
      <c r="H153" s="4"/>
      <c r="I153" s="4"/>
      <c r="J153" s="4"/>
      <c r="K153" s="4"/>
      <c r="L153" s="4"/>
      <c r="M153" s="4"/>
      <c r="N153" s="4"/>
      <c r="O153" s="4"/>
      <c r="P153" s="4"/>
      <c r="Q153" s="4"/>
      <c r="R153" s="4"/>
      <c r="S153" s="4"/>
      <c r="T153" s="4"/>
      <c r="U153" s="4"/>
      <c r="V153" s="4"/>
      <c r="W153" s="4"/>
      <c r="X153" s="4"/>
      <c r="Y153" s="4"/>
      <c r="Z153" s="4"/>
    </row>
    <row r="154" spans="1:26" ht="13.2">
      <c r="A154" s="10">
        <v>73</v>
      </c>
      <c r="B154" s="52" t="s">
        <v>612</v>
      </c>
      <c r="C154" s="16">
        <v>1</v>
      </c>
      <c r="D154" s="16">
        <v>2199</v>
      </c>
      <c r="E154" s="16">
        <f t="shared" si="15"/>
        <v>2199</v>
      </c>
      <c r="F154" s="56" t="s">
        <v>69</v>
      </c>
      <c r="G154" s="4"/>
      <c r="H154" s="4"/>
      <c r="I154" s="4"/>
      <c r="J154" s="4"/>
      <c r="K154" s="4"/>
      <c r="L154" s="4"/>
      <c r="M154" s="4"/>
      <c r="N154" s="4"/>
      <c r="O154" s="4"/>
      <c r="P154" s="4"/>
      <c r="Q154" s="4"/>
      <c r="R154" s="4"/>
      <c r="S154" s="4"/>
      <c r="T154" s="4"/>
      <c r="U154" s="4"/>
      <c r="V154" s="4"/>
      <c r="W154" s="4"/>
      <c r="X154" s="4"/>
      <c r="Y154" s="4"/>
      <c r="Z154" s="4"/>
    </row>
    <row r="155" spans="1:26" ht="13.2">
      <c r="A155" s="10">
        <v>74</v>
      </c>
      <c r="B155" s="52" t="s">
        <v>613</v>
      </c>
      <c r="C155" s="16">
        <v>1</v>
      </c>
      <c r="D155" s="16">
        <v>3638</v>
      </c>
      <c r="E155" s="16">
        <f t="shared" si="15"/>
        <v>3638</v>
      </c>
      <c r="F155" s="56" t="s">
        <v>69</v>
      </c>
      <c r="G155" s="4"/>
      <c r="H155" s="4"/>
      <c r="I155" s="4"/>
      <c r="J155" s="4"/>
      <c r="K155" s="4"/>
      <c r="L155" s="4"/>
      <c r="M155" s="4"/>
      <c r="N155" s="4"/>
      <c r="O155" s="4"/>
      <c r="P155" s="4"/>
      <c r="Q155" s="4"/>
      <c r="R155" s="4"/>
      <c r="S155" s="4"/>
      <c r="T155" s="4"/>
      <c r="U155" s="4"/>
      <c r="V155" s="4"/>
      <c r="W155" s="4"/>
      <c r="X155" s="4"/>
      <c r="Y155" s="4"/>
      <c r="Z155" s="4"/>
    </row>
    <row r="156" spans="1:26" ht="13.2">
      <c r="A156" s="10">
        <v>75</v>
      </c>
      <c r="B156" s="52" t="s">
        <v>614</v>
      </c>
      <c r="C156" s="16">
        <v>1</v>
      </c>
      <c r="D156" s="16">
        <v>3409</v>
      </c>
      <c r="E156" s="16">
        <f t="shared" si="15"/>
        <v>3409</v>
      </c>
      <c r="F156" s="56" t="s">
        <v>69</v>
      </c>
      <c r="G156" s="4"/>
      <c r="H156" s="4"/>
      <c r="I156" s="4"/>
      <c r="J156" s="4"/>
      <c r="K156" s="4"/>
      <c r="L156" s="4"/>
      <c r="M156" s="4"/>
      <c r="N156" s="4"/>
      <c r="O156" s="4"/>
      <c r="P156" s="4"/>
      <c r="Q156" s="4"/>
      <c r="R156" s="4"/>
      <c r="S156" s="4"/>
      <c r="T156" s="4"/>
      <c r="U156" s="4"/>
      <c r="V156" s="4"/>
      <c r="W156" s="4"/>
      <c r="X156" s="4"/>
      <c r="Y156" s="4"/>
      <c r="Z156" s="4"/>
    </row>
    <row r="157" spans="1:26" ht="13.2">
      <c r="A157" s="10">
        <v>76</v>
      </c>
      <c r="B157" s="52" t="s">
        <v>615</v>
      </c>
      <c r="C157" s="16">
        <v>1</v>
      </c>
      <c r="D157" s="16">
        <v>1375</v>
      </c>
      <c r="E157" s="16">
        <f t="shared" si="15"/>
        <v>1375</v>
      </c>
      <c r="F157" s="56" t="s">
        <v>69</v>
      </c>
      <c r="G157" s="4"/>
      <c r="H157" s="4"/>
      <c r="I157" s="4"/>
      <c r="J157" s="4"/>
      <c r="K157" s="4"/>
      <c r="L157" s="4"/>
      <c r="M157" s="4"/>
      <c r="N157" s="4"/>
      <c r="O157" s="4"/>
      <c r="P157" s="4"/>
      <c r="Q157" s="4"/>
      <c r="R157" s="4"/>
      <c r="S157" s="4"/>
      <c r="T157" s="4"/>
      <c r="U157" s="4"/>
      <c r="V157" s="4"/>
      <c r="W157" s="4"/>
      <c r="X157" s="4"/>
      <c r="Y157" s="4"/>
      <c r="Z157" s="4"/>
    </row>
    <row r="158" spans="1:26" ht="13.2">
      <c r="A158" s="10">
        <v>77</v>
      </c>
      <c r="B158" s="52" t="s">
        <v>616</v>
      </c>
      <c r="C158" s="16">
        <v>1</v>
      </c>
      <c r="D158" s="16">
        <v>3770</v>
      </c>
      <c r="E158" s="16">
        <f t="shared" si="15"/>
        <v>3770</v>
      </c>
      <c r="F158" s="56" t="s">
        <v>69</v>
      </c>
      <c r="G158" s="4"/>
      <c r="H158" s="4"/>
      <c r="I158" s="4"/>
      <c r="J158" s="4"/>
      <c r="K158" s="4"/>
      <c r="L158" s="4"/>
      <c r="M158" s="4"/>
      <c r="N158" s="4"/>
      <c r="O158" s="4"/>
      <c r="P158" s="4"/>
      <c r="Q158" s="4"/>
      <c r="R158" s="4"/>
      <c r="S158" s="4"/>
      <c r="T158" s="4"/>
      <c r="U158" s="4"/>
      <c r="V158" s="4"/>
      <c r="W158" s="4"/>
      <c r="X158" s="4"/>
      <c r="Y158" s="4"/>
      <c r="Z158" s="4"/>
    </row>
    <row r="159" spans="1:26" ht="13.2">
      <c r="A159" s="10">
        <v>78</v>
      </c>
      <c r="B159" s="52" t="s">
        <v>617</v>
      </c>
      <c r="C159" s="16">
        <v>2</v>
      </c>
      <c r="D159" s="16">
        <v>756</v>
      </c>
      <c r="E159" s="16">
        <f t="shared" si="15"/>
        <v>1512</v>
      </c>
      <c r="F159" s="56" t="s">
        <v>69</v>
      </c>
      <c r="G159" s="4"/>
      <c r="H159" s="4"/>
      <c r="I159" s="4"/>
      <c r="J159" s="4"/>
      <c r="K159" s="4"/>
      <c r="L159" s="4"/>
      <c r="M159" s="4"/>
      <c r="N159" s="4"/>
      <c r="O159" s="4"/>
      <c r="P159" s="4"/>
      <c r="Q159" s="4"/>
      <c r="R159" s="4"/>
      <c r="S159" s="4"/>
      <c r="T159" s="4"/>
      <c r="U159" s="4"/>
      <c r="V159" s="4"/>
      <c r="W159" s="4"/>
      <c r="X159" s="4"/>
      <c r="Y159" s="4"/>
      <c r="Z159" s="4"/>
    </row>
    <row r="160" spans="1:26" ht="13.2">
      <c r="A160" s="10">
        <v>79</v>
      </c>
      <c r="B160" s="52" t="s">
        <v>618</v>
      </c>
      <c r="C160" s="16">
        <v>2</v>
      </c>
      <c r="D160" s="16">
        <v>1196</v>
      </c>
      <c r="E160" s="16">
        <f t="shared" si="15"/>
        <v>2392</v>
      </c>
      <c r="F160" s="56" t="s">
        <v>69</v>
      </c>
      <c r="G160" s="4"/>
      <c r="H160" s="4"/>
      <c r="I160" s="4"/>
      <c r="J160" s="4"/>
      <c r="K160" s="4"/>
      <c r="L160" s="4"/>
      <c r="M160" s="4"/>
      <c r="N160" s="4"/>
      <c r="O160" s="4"/>
      <c r="P160" s="4"/>
      <c r="Q160" s="4"/>
      <c r="R160" s="4"/>
      <c r="S160" s="4"/>
      <c r="T160" s="4"/>
      <c r="U160" s="4"/>
      <c r="V160" s="4"/>
      <c r="W160" s="4"/>
      <c r="X160" s="4"/>
      <c r="Y160" s="4"/>
      <c r="Z160" s="4"/>
    </row>
    <row r="161" spans="1:26" ht="13.2">
      <c r="A161" s="10">
        <v>80</v>
      </c>
      <c r="B161" s="52" t="s">
        <v>619</v>
      </c>
      <c r="C161" s="16">
        <v>1</v>
      </c>
      <c r="D161" s="16">
        <v>5990</v>
      </c>
      <c r="E161" s="16">
        <f t="shared" si="15"/>
        <v>5990</v>
      </c>
      <c r="F161" s="56" t="s">
        <v>69</v>
      </c>
      <c r="G161" s="4"/>
      <c r="H161" s="4"/>
      <c r="I161" s="4"/>
      <c r="J161" s="4"/>
      <c r="K161" s="4"/>
      <c r="L161" s="4"/>
      <c r="M161" s="4"/>
      <c r="N161" s="4"/>
      <c r="O161" s="4"/>
      <c r="P161" s="4"/>
      <c r="Q161" s="4"/>
      <c r="R161" s="4"/>
      <c r="S161" s="4"/>
      <c r="T161" s="4"/>
      <c r="U161" s="4"/>
      <c r="V161" s="4"/>
      <c r="W161" s="4"/>
      <c r="X161" s="4"/>
      <c r="Y161" s="4"/>
      <c r="Z161" s="4"/>
    </row>
    <row r="162" spans="1:26" ht="13.2">
      <c r="A162" s="10">
        <v>81</v>
      </c>
      <c r="B162" s="52" t="s">
        <v>620</v>
      </c>
      <c r="C162" s="16">
        <v>3</v>
      </c>
      <c r="D162" s="16">
        <v>666</v>
      </c>
      <c r="E162" s="16">
        <f t="shared" si="15"/>
        <v>1998</v>
      </c>
      <c r="F162" s="56" t="s">
        <v>69</v>
      </c>
      <c r="G162" s="4"/>
      <c r="H162" s="4"/>
      <c r="I162" s="4"/>
      <c r="J162" s="4"/>
      <c r="K162" s="4"/>
      <c r="L162" s="4"/>
      <c r="M162" s="4"/>
      <c r="N162" s="4"/>
      <c r="O162" s="4"/>
      <c r="P162" s="4"/>
      <c r="Q162" s="4"/>
      <c r="R162" s="4"/>
      <c r="S162" s="4"/>
      <c r="T162" s="4"/>
      <c r="U162" s="4"/>
      <c r="V162" s="4"/>
      <c r="W162" s="4"/>
      <c r="X162" s="4"/>
      <c r="Y162" s="4"/>
      <c r="Z162" s="4"/>
    </row>
    <row r="163" spans="1:26" ht="13.2">
      <c r="A163" s="10">
        <v>82</v>
      </c>
      <c r="B163" s="52" t="s">
        <v>621</v>
      </c>
      <c r="C163" s="16">
        <v>3</v>
      </c>
      <c r="D163" s="16">
        <v>698</v>
      </c>
      <c r="E163" s="16">
        <f t="shared" si="15"/>
        <v>2094</v>
      </c>
      <c r="F163" s="56" t="s">
        <v>69</v>
      </c>
      <c r="G163" s="4"/>
      <c r="H163" s="4"/>
      <c r="I163" s="4"/>
      <c r="J163" s="4"/>
      <c r="K163" s="4"/>
      <c r="L163" s="4"/>
      <c r="M163" s="4"/>
      <c r="N163" s="4"/>
      <c r="O163" s="4"/>
      <c r="P163" s="4"/>
      <c r="Q163" s="4"/>
      <c r="R163" s="4"/>
      <c r="S163" s="4"/>
      <c r="T163" s="4"/>
      <c r="U163" s="4"/>
      <c r="V163" s="4"/>
      <c r="W163" s="4"/>
      <c r="X163" s="4"/>
      <c r="Y163" s="4"/>
      <c r="Z163" s="4"/>
    </row>
    <row r="164" spans="1:26" ht="13.2">
      <c r="A164" s="10">
        <v>83</v>
      </c>
      <c r="B164" s="52" t="s">
        <v>622</v>
      </c>
      <c r="C164" s="16">
        <v>1</v>
      </c>
      <c r="D164" s="16">
        <v>3534</v>
      </c>
      <c r="E164" s="16">
        <f t="shared" si="15"/>
        <v>3534</v>
      </c>
      <c r="F164" s="56" t="s">
        <v>69</v>
      </c>
      <c r="G164" s="4"/>
      <c r="H164" s="4"/>
      <c r="I164" s="4"/>
      <c r="J164" s="4"/>
      <c r="K164" s="4"/>
      <c r="L164" s="4"/>
      <c r="M164" s="4"/>
      <c r="N164" s="4"/>
      <c r="O164" s="4"/>
      <c r="P164" s="4"/>
      <c r="Q164" s="4"/>
      <c r="R164" s="4"/>
      <c r="S164" s="4"/>
      <c r="T164" s="4"/>
      <c r="U164" s="4"/>
      <c r="V164" s="4"/>
      <c r="W164" s="4"/>
      <c r="X164" s="4"/>
      <c r="Y164" s="4"/>
      <c r="Z164" s="4"/>
    </row>
    <row r="165" spans="1:26" ht="13.2">
      <c r="A165" s="10">
        <v>84</v>
      </c>
      <c r="B165" s="52" t="s">
        <v>623</v>
      </c>
      <c r="C165" s="16">
        <v>5</v>
      </c>
      <c r="D165" s="16">
        <v>431</v>
      </c>
      <c r="E165" s="16">
        <f t="shared" si="15"/>
        <v>2155</v>
      </c>
      <c r="F165" s="56" t="s">
        <v>69</v>
      </c>
      <c r="G165" s="4"/>
      <c r="H165" s="4"/>
      <c r="I165" s="4"/>
      <c r="J165" s="4"/>
      <c r="K165" s="4"/>
      <c r="L165" s="4"/>
      <c r="M165" s="4"/>
      <c r="N165" s="4"/>
      <c r="O165" s="4"/>
      <c r="P165" s="4"/>
      <c r="Q165" s="4"/>
      <c r="R165" s="4"/>
      <c r="S165" s="4"/>
      <c r="T165" s="4"/>
      <c r="U165" s="4"/>
      <c r="V165" s="4"/>
      <c r="W165" s="4"/>
      <c r="X165" s="4"/>
      <c r="Y165" s="4"/>
      <c r="Z165" s="4"/>
    </row>
    <row r="166" spans="1:26" ht="13.2">
      <c r="A166" s="10">
        <v>85</v>
      </c>
      <c r="B166" s="52" t="s">
        <v>624</v>
      </c>
      <c r="C166" s="16">
        <v>5</v>
      </c>
      <c r="D166" s="16">
        <v>313</v>
      </c>
      <c r="E166" s="16">
        <f t="shared" si="15"/>
        <v>1565</v>
      </c>
      <c r="F166" s="56" t="s">
        <v>69</v>
      </c>
      <c r="G166" s="4"/>
      <c r="H166" s="4"/>
      <c r="I166" s="4"/>
      <c r="J166" s="4"/>
      <c r="K166" s="4"/>
      <c r="L166" s="4"/>
      <c r="M166" s="4"/>
      <c r="N166" s="4"/>
      <c r="O166" s="4"/>
      <c r="P166" s="4"/>
      <c r="Q166" s="4"/>
      <c r="R166" s="4"/>
      <c r="S166" s="4"/>
      <c r="T166" s="4"/>
      <c r="U166" s="4"/>
      <c r="V166" s="4"/>
      <c r="W166" s="4"/>
      <c r="X166" s="4"/>
      <c r="Y166" s="4"/>
      <c r="Z166" s="4"/>
    </row>
    <row r="167" spans="1:26" ht="13.2">
      <c r="A167" s="10">
        <v>86</v>
      </c>
      <c r="B167" s="52" t="s">
        <v>625</v>
      </c>
      <c r="C167" s="16">
        <v>1</v>
      </c>
      <c r="D167" s="16">
        <v>1551</v>
      </c>
      <c r="E167" s="16">
        <f t="shared" si="15"/>
        <v>1551</v>
      </c>
      <c r="F167" s="56" t="s">
        <v>385</v>
      </c>
      <c r="G167" s="4"/>
      <c r="H167" s="4"/>
      <c r="I167" s="4"/>
      <c r="J167" s="4"/>
      <c r="K167" s="4"/>
      <c r="L167" s="4"/>
      <c r="M167" s="4"/>
      <c r="N167" s="4"/>
      <c r="O167" s="4"/>
      <c r="P167" s="4"/>
      <c r="Q167" s="4"/>
      <c r="R167" s="4"/>
      <c r="S167" s="4"/>
      <c r="T167" s="4"/>
      <c r="U167" s="4"/>
      <c r="V167" s="4"/>
      <c r="W167" s="4"/>
      <c r="X167" s="4"/>
      <c r="Y167" s="4"/>
      <c r="Z167" s="4"/>
    </row>
    <row r="168" spans="1:26" ht="13.2">
      <c r="A168" s="10">
        <v>87</v>
      </c>
      <c r="B168" s="52" t="s">
        <v>626</v>
      </c>
      <c r="C168" s="16">
        <v>6</v>
      </c>
      <c r="D168" s="16">
        <v>1700</v>
      </c>
      <c r="E168" s="16">
        <f t="shared" si="15"/>
        <v>10200</v>
      </c>
      <c r="F168" s="56" t="s">
        <v>385</v>
      </c>
      <c r="G168" s="4"/>
      <c r="H168" s="4"/>
      <c r="I168" s="4"/>
      <c r="J168" s="4"/>
      <c r="K168" s="4"/>
      <c r="L168" s="4"/>
      <c r="M168" s="4"/>
      <c r="N168" s="4"/>
      <c r="O168" s="4"/>
      <c r="P168" s="4"/>
      <c r="Q168" s="4"/>
      <c r="R168" s="4"/>
      <c r="S168" s="4"/>
      <c r="T168" s="4"/>
      <c r="U168" s="4"/>
      <c r="V168" s="4"/>
      <c r="W168" s="4"/>
      <c r="X168" s="4"/>
      <c r="Y168" s="4"/>
      <c r="Z168" s="4"/>
    </row>
    <row r="169" spans="1:26" ht="13.2">
      <c r="A169" s="10">
        <v>88</v>
      </c>
      <c r="B169" s="52" t="s">
        <v>627</v>
      </c>
      <c r="C169" s="16">
        <v>3</v>
      </c>
      <c r="D169" s="16">
        <v>3719</v>
      </c>
      <c r="E169" s="16">
        <f t="shared" si="15"/>
        <v>11157</v>
      </c>
      <c r="F169" s="56" t="s">
        <v>283</v>
      </c>
      <c r="G169" s="4"/>
      <c r="H169" s="4"/>
      <c r="I169" s="4"/>
      <c r="J169" s="4"/>
      <c r="K169" s="4"/>
      <c r="L169" s="4"/>
      <c r="M169" s="4"/>
      <c r="N169" s="4"/>
      <c r="O169" s="4"/>
      <c r="P169" s="4"/>
      <c r="Q169" s="4"/>
      <c r="R169" s="4"/>
      <c r="S169" s="4"/>
      <c r="T169" s="4"/>
      <c r="U169" s="4"/>
      <c r="V169" s="4"/>
      <c r="W169" s="4"/>
      <c r="X169" s="4"/>
      <c r="Y169" s="4"/>
      <c r="Z169" s="4"/>
    </row>
    <row r="170" spans="1:26" ht="13.2">
      <c r="A170" s="10">
        <v>89</v>
      </c>
      <c r="B170" s="52" t="s">
        <v>628</v>
      </c>
      <c r="C170" s="16">
        <v>2</v>
      </c>
      <c r="D170" s="111">
        <v>4499</v>
      </c>
      <c r="E170" s="16">
        <f t="shared" si="15"/>
        <v>8998</v>
      </c>
      <c r="F170" s="56" t="s">
        <v>423</v>
      </c>
      <c r="G170" s="4"/>
      <c r="H170" s="4"/>
      <c r="I170" s="4"/>
      <c r="J170" s="4"/>
      <c r="K170" s="4"/>
      <c r="L170" s="4"/>
      <c r="M170" s="4"/>
      <c r="N170" s="4"/>
      <c r="O170" s="4"/>
      <c r="P170" s="4"/>
      <c r="Q170" s="4"/>
      <c r="R170" s="4"/>
      <c r="S170" s="4"/>
      <c r="T170" s="4"/>
      <c r="U170" s="4"/>
      <c r="V170" s="4"/>
      <c r="W170" s="4"/>
      <c r="X170" s="4"/>
      <c r="Y170" s="4"/>
      <c r="Z170" s="4"/>
    </row>
    <row r="171" spans="1:26" ht="13.2">
      <c r="A171" s="10">
        <v>90</v>
      </c>
      <c r="B171" s="52" t="s">
        <v>629</v>
      </c>
      <c r="C171" s="16">
        <v>2</v>
      </c>
      <c r="D171" s="16">
        <v>1529</v>
      </c>
      <c r="E171" s="16">
        <f t="shared" si="15"/>
        <v>3058</v>
      </c>
      <c r="F171" s="56" t="s">
        <v>69</v>
      </c>
      <c r="G171" s="4"/>
      <c r="H171" s="4"/>
      <c r="I171" s="4"/>
      <c r="J171" s="4"/>
      <c r="K171" s="4"/>
      <c r="L171" s="4"/>
      <c r="M171" s="4"/>
      <c r="N171" s="4"/>
      <c r="O171" s="4"/>
      <c r="P171" s="4"/>
      <c r="Q171" s="4"/>
      <c r="R171" s="4"/>
      <c r="S171" s="4"/>
      <c r="T171" s="4"/>
      <c r="U171" s="4"/>
      <c r="V171" s="4"/>
      <c r="W171" s="4"/>
      <c r="X171" s="4"/>
      <c r="Y171" s="4"/>
      <c r="Z171" s="4"/>
    </row>
    <row r="172" spans="1:26" ht="13.2">
      <c r="A172" s="10">
        <v>91</v>
      </c>
      <c r="B172" s="52" t="s">
        <v>630</v>
      </c>
      <c r="C172" s="16">
        <v>1</v>
      </c>
      <c r="D172" s="16">
        <v>2000</v>
      </c>
      <c r="E172" s="16">
        <f t="shared" si="15"/>
        <v>2000</v>
      </c>
      <c r="F172" s="52"/>
      <c r="G172" s="4"/>
      <c r="H172" s="4"/>
      <c r="I172" s="4"/>
      <c r="J172" s="4"/>
      <c r="K172" s="4"/>
      <c r="L172" s="4"/>
      <c r="M172" s="4"/>
      <c r="N172" s="4"/>
      <c r="O172" s="4"/>
      <c r="P172" s="4"/>
      <c r="Q172" s="4"/>
      <c r="R172" s="4"/>
      <c r="S172" s="4"/>
      <c r="T172" s="4"/>
      <c r="U172" s="4"/>
      <c r="V172" s="4"/>
      <c r="W172" s="4"/>
      <c r="X172" s="4"/>
      <c r="Y172" s="4"/>
      <c r="Z172" s="4"/>
    </row>
    <row r="173" spans="1:26" ht="13.2">
      <c r="A173" s="10">
        <v>92</v>
      </c>
      <c r="B173" s="52" t="s">
        <v>617</v>
      </c>
      <c r="C173" s="16">
        <v>2</v>
      </c>
      <c r="D173" s="16">
        <v>756</v>
      </c>
      <c r="E173" s="16">
        <f t="shared" si="15"/>
        <v>1512</v>
      </c>
      <c r="F173" s="56" t="s">
        <v>631</v>
      </c>
      <c r="G173" s="4"/>
      <c r="H173" s="4"/>
      <c r="I173" s="4"/>
      <c r="J173" s="4"/>
      <c r="K173" s="4"/>
      <c r="L173" s="4"/>
      <c r="M173" s="4"/>
      <c r="N173" s="4"/>
      <c r="O173" s="4"/>
      <c r="P173" s="4"/>
      <c r="Q173" s="4"/>
      <c r="R173" s="4"/>
      <c r="S173" s="4"/>
      <c r="T173" s="4"/>
      <c r="U173" s="4"/>
      <c r="V173" s="4"/>
      <c r="W173" s="4"/>
      <c r="X173" s="4"/>
      <c r="Y173" s="4"/>
      <c r="Z173" s="4"/>
    </row>
    <row r="174" spans="1:26" ht="13.2">
      <c r="A174" s="10">
        <v>93</v>
      </c>
      <c r="B174" s="52" t="s">
        <v>632</v>
      </c>
      <c r="C174" s="16">
        <v>1</v>
      </c>
      <c r="D174" s="16">
        <v>1500</v>
      </c>
      <c r="E174" s="16">
        <f t="shared" si="15"/>
        <v>1500</v>
      </c>
      <c r="F174" s="52"/>
      <c r="G174" s="4"/>
      <c r="H174" s="4"/>
      <c r="I174" s="4"/>
      <c r="J174" s="4"/>
      <c r="K174" s="4"/>
      <c r="L174" s="4"/>
      <c r="M174" s="4"/>
      <c r="N174" s="4"/>
      <c r="O174" s="4"/>
      <c r="P174" s="4"/>
      <c r="Q174" s="4"/>
      <c r="R174" s="4"/>
      <c r="S174" s="4"/>
      <c r="T174" s="4"/>
      <c r="U174" s="4"/>
      <c r="V174" s="4"/>
      <c r="W174" s="4"/>
      <c r="X174" s="4"/>
      <c r="Y174" s="4"/>
      <c r="Z174" s="4"/>
    </row>
    <row r="175" spans="1:26" ht="13.2">
      <c r="A175" s="10">
        <v>94</v>
      </c>
      <c r="B175" s="52" t="s">
        <v>633</v>
      </c>
      <c r="C175" s="16">
        <v>2</v>
      </c>
      <c r="D175" s="16">
        <v>1500</v>
      </c>
      <c r="E175" s="16">
        <f t="shared" si="15"/>
        <v>3000</v>
      </c>
      <c r="F175" s="52"/>
      <c r="G175" s="4"/>
      <c r="H175" s="4"/>
      <c r="I175" s="4"/>
      <c r="J175" s="4"/>
      <c r="K175" s="4"/>
      <c r="L175" s="4"/>
      <c r="M175" s="4"/>
      <c r="N175" s="4"/>
      <c r="O175" s="4"/>
      <c r="P175" s="4"/>
      <c r="Q175" s="4"/>
      <c r="R175" s="4"/>
      <c r="S175" s="4"/>
      <c r="T175" s="4"/>
      <c r="U175" s="4"/>
      <c r="V175" s="4"/>
      <c r="W175" s="4"/>
      <c r="X175" s="4"/>
      <c r="Y175" s="4"/>
      <c r="Z175" s="4"/>
    </row>
    <row r="176" spans="1:26" ht="13.2">
      <c r="A176" s="10">
        <v>95</v>
      </c>
      <c r="B176" s="52" t="s">
        <v>634</v>
      </c>
      <c r="C176" s="16">
        <v>1</v>
      </c>
      <c r="D176" s="16">
        <v>100</v>
      </c>
      <c r="E176" s="16">
        <f t="shared" si="15"/>
        <v>100</v>
      </c>
      <c r="F176" s="102" t="s">
        <v>283</v>
      </c>
      <c r="H176" s="4"/>
      <c r="I176" s="4"/>
      <c r="J176" s="4"/>
      <c r="K176" s="4"/>
      <c r="L176" s="4"/>
      <c r="M176" s="4"/>
      <c r="N176" s="4"/>
      <c r="O176" s="4"/>
      <c r="P176" s="4"/>
      <c r="Q176" s="4"/>
      <c r="R176" s="4"/>
      <c r="S176" s="4"/>
      <c r="T176" s="4"/>
      <c r="U176" s="4"/>
      <c r="V176" s="4"/>
      <c r="W176" s="4"/>
      <c r="X176" s="4"/>
      <c r="Y176" s="4"/>
      <c r="Z176" s="4"/>
    </row>
    <row r="177" spans="1:26" ht="13.2">
      <c r="A177" s="10">
        <v>96</v>
      </c>
      <c r="B177" s="71" t="s">
        <v>635</v>
      </c>
      <c r="C177" s="71">
        <v>2</v>
      </c>
      <c r="D177" s="71">
        <v>4000</v>
      </c>
      <c r="E177" s="71">
        <f t="shared" si="15"/>
        <v>8000</v>
      </c>
      <c r="F177" s="71"/>
      <c r="H177" s="4"/>
      <c r="I177" s="4"/>
      <c r="J177" s="4"/>
      <c r="K177" s="4"/>
      <c r="L177" s="4"/>
      <c r="M177" s="4"/>
      <c r="N177" s="4"/>
      <c r="O177" s="4"/>
      <c r="P177" s="4"/>
      <c r="Q177" s="4"/>
      <c r="R177" s="4"/>
      <c r="S177" s="4"/>
      <c r="T177" s="4"/>
      <c r="U177" s="4"/>
      <c r="V177" s="4"/>
      <c r="W177" s="4"/>
      <c r="X177" s="4"/>
      <c r="Y177" s="4"/>
      <c r="Z177" s="4"/>
    </row>
    <row r="178" spans="1:26" ht="13.2">
      <c r="A178" s="10">
        <v>97</v>
      </c>
      <c r="B178" s="52" t="s">
        <v>636</v>
      </c>
      <c r="C178" s="16">
        <v>1</v>
      </c>
      <c r="D178" s="16">
        <v>2000</v>
      </c>
      <c r="E178" s="16">
        <f t="shared" si="15"/>
        <v>2000</v>
      </c>
      <c r="F178" s="52"/>
      <c r="H178" s="4"/>
      <c r="I178" s="4"/>
      <c r="J178" s="4"/>
      <c r="K178" s="4"/>
      <c r="L178" s="4"/>
      <c r="M178" s="4"/>
      <c r="N178" s="4"/>
      <c r="O178" s="4"/>
      <c r="P178" s="4"/>
      <c r="Q178" s="4"/>
      <c r="R178" s="4"/>
      <c r="S178" s="4"/>
      <c r="T178" s="4"/>
      <c r="U178" s="4"/>
      <c r="V178" s="4"/>
      <c r="W178" s="4"/>
      <c r="X178" s="4"/>
      <c r="Y178" s="4"/>
      <c r="Z178" s="4"/>
    </row>
    <row r="179" spans="1:26" ht="13.2">
      <c r="A179" s="10">
        <v>98</v>
      </c>
      <c r="B179" s="52" t="s">
        <v>637</v>
      </c>
      <c r="C179" s="16">
        <v>2</v>
      </c>
      <c r="D179" s="111">
        <v>2520</v>
      </c>
      <c r="E179" s="16">
        <f t="shared" si="15"/>
        <v>5040</v>
      </c>
      <c r="F179" s="56" t="s">
        <v>423</v>
      </c>
      <c r="H179" s="4"/>
      <c r="I179" s="4"/>
      <c r="J179" s="4"/>
      <c r="K179" s="4"/>
      <c r="L179" s="4"/>
      <c r="M179" s="4"/>
      <c r="N179" s="4"/>
      <c r="O179" s="4"/>
      <c r="P179" s="4"/>
      <c r="Q179" s="4"/>
      <c r="R179" s="4"/>
      <c r="S179" s="4"/>
      <c r="T179" s="4"/>
      <c r="U179" s="4"/>
      <c r="V179" s="4"/>
      <c r="W179" s="4"/>
      <c r="X179" s="4"/>
      <c r="Y179" s="4"/>
      <c r="Z179" s="4"/>
    </row>
    <row r="180" spans="1:26" ht="13.2">
      <c r="A180" s="10">
        <v>99</v>
      </c>
      <c r="B180" s="52" t="s">
        <v>642</v>
      </c>
      <c r="C180" s="16">
        <v>6</v>
      </c>
      <c r="D180" s="111">
        <v>2160</v>
      </c>
      <c r="E180" s="16">
        <f t="shared" si="15"/>
        <v>12960</v>
      </c>
      <c r="F180" s="77" t="s">
        <v>644</v>
      </c>
      <c r="G180" s="4"/>
      <c r="H180" s="4"/>
      <c r="I180" s="4"/>
      <c r="J180" s="4"/>
      <c r="K180" s="4"/>
      <c r="L180" s="4"/>
      <c r="M180" s="4"/>
      <c r="N180" s="4"/>
      <c r="O180" s="4"/>
      <c r="P180" s="4"/>
      <c r="Q180" s="4"/>
      <c r="R180" s="4"/>
      <c r="S180" s="4"/>
      <c r="T180" s="4"/>
      <c r="U180" s="4"/>
      <c r="V180" s="4"/>
      <c r="W180" s="4"/>
      <c r="X180" s="4"/>
      <c r="Y180" s="4"/>
      <c r="Z180" s="4"/>
    </row>
    <row r="181" spans="1:26" ht="13.2">
      <c r="A181" s="10">
        <v>100</v>
      </c>
      <c r="B181" s="52" t="s">
        <v>645</v>
      </c>
      <c r="C181" s="16">
        <v>2</v>
      </c>
      <c r="D181" s="111">
        <v>2004</v>
      </c>
      <c r="E181" s="16">
        <f t="shared" si="15"/>
        <v>4008</v>
      </c>
      <c r="F181" s="56" t="s">
        <v>423</v>
      </c>
      <c r="G181" s="4"/>
      <c r="H181" s="4"/>
      <c r="I181" s="4"/>
      <c r="J181" s="4"/>
      <c r="K181" s="4"/>
      <c r="L181" s="4"/>
      <c r="M181" s="4"/>
      <c r="N181" s="4"/>
      <c r="O181" s="4"/>
      <c r="P181" s="4"/>
      <c r="Q181" s="4"/>
      <c r="R181" s="4"/>
      <c r="S181" s="4"/>
      <c r="T181" s="4"/>
      <c r="U181" s="4"/>
      <c r="V181" s="4"/>
      <c r="W181" s="4"/>
      <c r="X181" s="4"/>
      <c r="Y181" s="4"/>
      <c r="Z181" s="4"/>
    </row>
    <row r="182" spans="1:26" ht="13.2">
      <c r="A182" s="10">
        <v>101</v>
      </c>
      <c r="B182" s="52" t="s">
        <v>646</v>
      </c>
      <c r="C182" s="16">
        <v>3</v>
      </c>
      <c r="D182" s="16">
        <v>349</v>
      </c>
      <c r="E182" s="16">
        <f t="shared" si="15"/>
        <v>1047</v>
      </c>
      <c r="F182" s="56" t="s">
        <v>423</v>
      </c>
      <c r="G182" s="4"/>
      <c r="H182" s="4"/>
      <c r="I182" s="4"/>
      <c r="J182" s="4"/>
      <c r="K182" s="4"/>
      <c r="L182" s="4"/>
      <c r="M182" s="4"/>
      <c r="N182" s="4"/>
      <c r="O182" s="4"/>
      <c r="P182" s="4"/>
      <c r="Q182" s="4"/>
      <c r="R182" s="4"/>
      <c r="S182" s="4"/>
      <c r="T182" s="4"/>
      <c r="U182" s="4"/>
      <c r="V182" s="4"/>
      <c r="W182" s="4"/>
      <c r="X182" s="4"/>
      <c r="Y182" s="4"/>
      <c r="Z182" s="4"/>
    </row>
    <row r="183" spans="1:26" ht="13.2">
      <c r="A183" s="4"/>
      <c r="B183" s="4"/>
      <c r="C183" s="4"/>
      <c r="D183" s="8" t="s">
        <v>5</v>
      </c>
      <c r="E183" s="8">
        <f>SUM(E82:E182)</f>
        <v>265650</v>
      </c>
      <c r="F183" s="4"/>
      <c r="G183" s="4"/>
      <c r="H183" s="4"/>
      <c r="I183" s="4"/>
      <c r="J183" s="4"/>
      <c r="K183" s="4"/>
      <c r="L183" s="4"/>
      <c r="M183" s="4"/>
      <c r="N183" s="4"/>
      <c r="O183" s="4"/>
      <c r="P183" s="4"/>
      <c r="Q183" s="4"/>
      <c r="R183" s="4"/>
      <c r="S183" s="4"/>
      <c r="T183" s="4"/>
      <c r="U183" s="4"/>
      <c r="V183" s="4"/>
      <c r="W183" s="4"/>
      <c r="X183" s="4"/>
      <c r="Y183" s="4"/>
      <c r="Z183" s="4"/>
    </row>
    <row r="184" spans="1:26"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30" customHeight="1">
      <c r="A186" s="232" t="s">
        <v>110</v>
      </c>
      <c r="B186" s="233"/>
      <c r="C186" s="233"/>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c r="A187" s="2"/>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c r="A189" s="8" t="s">
        <v>647</v>
      </c>
      <c r="B189" s="8" t="s">
        <v>648</v>
      </c>
      <c r="C189" s="4" t="s">
        <v>649</v>
      </c>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c r="A190" s="10" t="s">
        <v>650</v>
      </c>
      <c r="B190" s="10"/>
      <c r="C190" s="116" t="s">
        <v>651</v>
      </c>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c r="A191" s="10" t="s">
        <v>652</v>
      </c>
      <c r="B191" s="10" t="s">
        <v>653</v>
      </c>
      <c r="C191" s="4" t="s">
        <v>654</v>
      </c>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c r="A193" s="8" t="s">
        <v>655</v>
      </c>
      <c r="B193" s="8" t="s">
        <v>656</v>
      </c>
      <c r="C193" s="4" t="s">
        <v>657</v>
      </c>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c r="A194" s="10" t="s">
        <v>650</v>
      </c>
      <c r="B194" s="10"/>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c r="A195" s="10" t="s">
        <v>658</v>
      </c>
      <c r="B195" s="10">
        <v>5000</v>
      </c>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c r="A196" s="10" t="s">
        <v>158</v>
      </c>
      <c r="B196" s="10">
        <v>2700</v>
      </c>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c r="A197" s="10" t="s">
        <v>164</v>
      </c>
      <c r="B197" s="10">
        <v>3000</v>
      </c>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c r="A198" s="10" t="s">
        <v>659</v>
      </c>
      <c r="B198" s="10" t="s">
        <v>660</v>
      </c>
      <c r="C198" s="4" t="s">
        <v>654</v>
      </c>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c r="A199" s="2"/>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c r="A200" s="8" t="s">
        <v>661</v>
      </c>
      <c r="B200" s="8" t="s">
        <v>662</v>
      </c>
      <c r="C200" s="4" t="s">
        <v>663</v>
      </c>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c r="A201" s="10" t="s">
        <v>650</v>
      </c>
      <c r="B201" s="10"/>
      <c r="C201" s="89" t="s">
        <v>651</v>
      </c>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c r="A202" s="10" t="s">
        <v>658</v>
      </c>
      <c r="B202" s="10">
        <v>5000</v>
      </c>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c r="A203" s="10" t="s">
        <v>164</v>
      </c>
      <c r="B203" s="10">
        <v>3000</v>
      </c>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c r="A204" s="10" t="s">
        <v>659</v>
      </c>
      <c r="B204" s="10" t="s">
        <v>666</v>
      </c>
      <c r="C204" s="4" t="s">
        <v>667</v>
      </c>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c r="A206" s="8" t="s">
        <v>668</v>
      </c>
      <c r="B206" s="8" t="s">
        <v>669</v>
      </c>
      <c r="C206" s="4" t="s">
        <v>670</v>
      </c>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c r="A207" s="10" t="s">
        <v>650</v>
      </c>
      <c r="B207" s="10"/>
      <c r="C207" s="89" t="s">
        <v>651</v>
      </c>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c r="A208" s="10" t="s">
        <v>658</v>
      </c>
      <c r="B208" s="10">
        <v>5000</v>
      </c>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c r="A209" s="10" t="s">
        <v>164</v>
      </c>
      <c r="B209" s="10">
        <v>3000</v>
      </c>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c r="A210" s="10" t="s">
        <v>659</v>
      </c>
      <c r="B210" s="10" t="s">
        <v>673</v>
      </c>
      <c r="C210" s="4" t="s">
        <v>667</v>
      </c>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c r="A241" s="2"/>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c r="A242" s="2"/>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c r="A243" s="2"/>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c r="A244" s="2"/>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c r="A245" s="2"/>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c r="A246" s="2"/>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c r="A247" s="2"/>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c r="A248" s="2"/>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c r="A249" s="2"/>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c r="A250" s="2"/>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c r="A251" s="2"/>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c r="A252" s="2"/>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c r="A253" s="2"/>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c r="A254" s="2"/>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c r="A255" s="2"/>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c r="A256" s="2"/>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c r="A257" s="2"/>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c r="A258" s="2"/>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c r="A259" s="2"/>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c r="A260" s="2"/>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c r="A261" s="2"/>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c r="A262" s="2"/>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c r="A263" s="2"/>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c r="A264" s="2"/>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c r="A265" s="2"/>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c r="A266" s="2"/>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c r="A267" s="2"/>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c r="A268" s="2"/>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c r="A269" s="2"/>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c r="A270" s="2"/>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c r="A271" s="2"/>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c r="A272" s="2"/>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c r="A273" s="2"/>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c r="A274" s="2"/>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c r="A275" s="2"/>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c r="A276" s="2"/>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c r="A277" s="2"/>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c r="A278" s="2"/>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c r="A279" s="2"/>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c r="A280" s="2"/>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c r="A281" s="2"/>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c r="A282" s="2"/>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c r="A283" s="2"/>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c r="A284" s="2"/>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c r="A285" s="2"/>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c r="A286" s="2"/>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c r="A287" s="2"/>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c r="A288" s="2"/>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c r="A289" s="2"/>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c r="A290" s="2"/>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c r="A291" s="2"/>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c r="A292" s="2"/>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c r="A293" s="2"/>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c r="A294" s="2"/>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c r="A295" s="2"/>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c r="A296" s="2"/>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c r="A297" s="2"/>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c r="A298" s="2"/>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c r="A299" s="2"/>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c r="A300" s="2"/>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c r="A301" s="2"/>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c r="A302" s="2"/>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c r="A303" s="2"/>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c r="A304" s="2"/>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c r="A305" s="2" t="s">
        <v>695</v>
      </c>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2">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3.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3.2">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3.2">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3.2">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3.2">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3.2">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3.2">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3.2">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3.2">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3.2">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3.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3.2">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ht="13.2">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ht="13.2">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ht="13.2">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ht="13.2">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ht="13.2">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spans="1:26" ht="13.2">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spans="1:26" ht="13.2">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spans="1:26" ht="13.2">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spans="1:26" ht="1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spans="1:26" ht="13.2">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spans="1:26" ht="13.2">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spans="1:26" ht="13.2">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spans="1:26" ht="13.2">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spans="1:26" ht="13.2">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spans="1:26" ht="13.2">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spans="1:26" ht="13.2">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spans="1:26" ht="13.2">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spans="1:26" ht="13.2">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spans="1:26" ht="13.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spans="1:26" ht="13.2">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spans="1:26" ht="13.2">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spans="1:26" ht="13.2">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spans="1:26" ht="13.2">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spans="1:26" ht="13.2">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spans="1:26" ht="13.2">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spans="1:26" ht="13.2">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row r="1050" spans="1:26" ht="13.2">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row>
    <row r="1051" spans="1:26" ht="13.2">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row>
    <row r="1052" spans="1:26" ht="13.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row>
    <row r="1053" spans="1:26" ht="13.2">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row>
    <row r="1054" spans="1:26" ht="13.2">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row>
    <row r="1055" spans="1:26" ht="13.2">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row>
    <row r="1056" spans="1:26" ht="13.2">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row>
    <row r="1057" spans="1:26" ht="13.2">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row>
    <row r="1058" spans="1:26" ht="13.2">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row>
    <row r="1059" spans="1:26" ht="13.2">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row>
    <row r="1060" spans="1:26" ht="13.2">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row>
    <row r="1061" spans="1:26" ht="13.2">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row>
    <row r="1062" spans="1:26" ht="13.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row>
    <row r="1063" spans="1:26" ht="13.2">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row>
    <row r="1064" spans="1:26" ht="13.2">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row>
    <row r="1065" spans="1:26" ht="13.2">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row>
    <row r="1066" spans="1:26" ht="13.2">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row>
    <row r="1067" spans="1:26" ht="13.2">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row>
    <row r="1068" spans="1:26" ht="13.2">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row>
    <row r="1069" spans="1:26" ht="13.2">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row>
    <row r="1070" spans="1:26" ht="13.2">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row>
    <row r="1071" spans="1:26" ht="13.2">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row>
    <row r="1072" spans="1:26" ht="13.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row>
    <row r="1073" spans="1:26" ht="13.2">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row>
    <row r="1074" spans="1:26" ht="13.2">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row>
    <row r="1075" spans="1:26" ht="13.2">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row>
    <row r="1076" spans="1:26" ht="13.2">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row>
    <row r="1077" spans="1:26" ht="13.2">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row>
    <row r="1078" spans="1:26" ht="13.2">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row>
    <row r="1079" spans="1:26" ht="13.2">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row>
    <row r="1080" spans="1:26" ht="13.2">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row>
    <row r="1081" spans="1:26" ht="13.2">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row>
    <row r="1082" spans="1:26" ht="13.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row>
    <row r="1083" spans="1:26" ht="13.2">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row>
    <row r="1084" spans="1:26" ht="13.2">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row>
    <row r="1085" spans="1:26" ht="13.2">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row>
    <row r="1086" spans="1:26" ht="13.2">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row>
    <row r="1087" spans="1:26" ht="13.2">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row>
    <row r="1088" spans="1:26" ht="13.2">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row>
    <row r="1089" spans="1:26" ht="13.2">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row>
    <row r="1090" spans="1:26" ht="13.2">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row>
    <row r="1091" spans="1:26" ht="13.2">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row>
    <row r="1092" spans="1:26" ht="13.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row>
    <row r="1093" spans="1:26" ht="13.2">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row>
    <row r="1094" spans="1:26" ht="13.2">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row>
    <row r="1095" spans="1:26" ht="13.2">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row>
    <row r="1096" spans="1:26" ht="13.2">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row>
    <row r="1097" spans="1:26" ht="13.2">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row>
    <row r="1098" spans="1:26" ht="13.2">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row>
    <row r="1099" spans="1:26" ht="13.2">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row>
    <row r="1100" spans="1:26" ht="13.2">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row>
    <row r="1101" spans="1:26" ht="13.2">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row>
    <row r="1102" spans="1:26" ht="13.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row>
    <row r="1103" spans="1:26" ht="13.2">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row>
    <row r="1104" spans="1:26" ht="13.2">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row>
    <row r="1105" spans="1:26" ht="13.2">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row>
    <row r="1106" spans="1:26" ht="13.2">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row>
    <row r="1107" spans="1:26" ht="13.2">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row>
    <row r="1108" spans="1:26" ht="13.2">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row>
    <row r="1109" spans="1:26" ht="13.2">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row>
    <row r="1110" spans="1:26" ht="13.2">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row>
    <row r="1111" spans="1:26" ht="13.2">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row>
    <row r="1112" spans="1:26" ht="13.2">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row>
    <row r="1113" spans="1:26" ht="13.2">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row>
    <row r="1114" spans="1:26" ht="13.2">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row>
    <row r="1115" spans="1:26" ht="13.2">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row>
    <row r="1116" spans="1:26" ht="13.2">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row>
    <row r="1117" spans="1:26" ht="13.2">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row>
    <row r="1118" spans="1:26" ht="13.2">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row>
    <row r="1119" spans="1:26" ht="13.2">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row>
    <row r="1120" spans="1:26" ht="13.2">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row>
    <row r="1121" spans="1:26" ht="13.2">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row>
    <row r="1122" spans="1:26" ht="13.2">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row>
    <row r="1123" spans="1:26" ht="13.2">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row>
    <row r="1124" spans="1:26" ht="13.2">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row>
    <row r="1125" spans="1:26" ht="13.2">
      <c r="A1125" s="4"/>
      <c r="B1125" s="4"/>
      <c r="C1125" s="4"/>
      <c r="D1125" s="4"/>
      <c r="E1125" s="4"/>
      <c r="F1125" s="4"/>
      <c r="G1125" s="4"/>
      <c r="H1125" s="4"/>
      <c r="I1125" s="4"/>
      <c r="J1125" s="4"/>
      <c r="K1125" s="4"/>
      <c r="L1125" s="4"/>
      <c r="M1125" s="4"/>
      <c r="N1125" s="4"/>
      <c r="O1125" s="4"/>
      <c r="P1125" s="4"/>
      <c r="Q1125" s="4"/>
      <c r="R1125" s="4"/>
      <c r="S1125" s="4"/>
      <c r="T1125" s="4"/>
      <c r="U1125" s="4"/>
      <c r="V1125" s="4"/>
      <c r="W1125" s="4"/>
      <c r="X1125" s="4"/>
      <c r="Y1125" s="4"/>
      <c r="Z1125" s="4"/>
    </row>
    <row r="1126" spans="1:26" ht="13.2">
      <c r="A1126" s="4"/>
      <c r="B1126" s="4"/>
      <c r="C1126" s="4"/>
      <c r="D1126" s="4"/>
      <c r="E1126" s="4"/>
      <c r="F1126" s="4"/>
      <c r="G1126" s="4"/>
      <c r="H1126" s="4"/>
      <c r="I1126" s="4"/>
      <c r="J1126" s="4"/>
      <c r="K1126" s="4"/>
      <c r="L1126" s="4"/>
      <c r="M1126" s="4"/>
      <c r="N1126" s="4"/>
      <c r="O1126" s="4"/>
      <c r="P1126" s="4"/>
      <c r="Q1126" s="4"/>
      <c r="R1126" s="4"/>
      <c r="S1126" s="4"/>
      <c r="T1126" s="4"/>
      <c r="U1126" s="4"/>
      <c r="V1126" s="4"/>
      <c r="W1126" s="4"/>
      <c r="X1126" s="4"/>
      <c r="Y1126" s="4"/>
      <c r="Z1126" s="4"/>
    </row>
    <row r="1127" spans="1:26" ht="13.2">
      <c r="A1127" s="4"/>
      <c r="B1127" s="4"/>
      <c r="C1127" s="4"/>
      <c r="D1127" s="4"/>
      <c r="E1127" s="4"/>
      <c r="F1127" s="4"/>
      <c r="G1127" s="4"/>
      <c r="H1127" s="4"/>
      <c r="I1127" s="4"/>
      <c r="J1127" s="4"/>
      <c r="K1127" s="4"/>
      <c r="L1127" s="4"/>
      <c r="M1127" s="4"/>
      <c r="N1127" s="4"/>
      <c r="O1127" s="4"/>
      <c r="P1127" s="4"/>
      <c r="Q1127" s="4"/>
      <c r="R1127" s="4"/>
      <c r="S1127" s="4"/>
      <c r="T1127" s="4"/>
      <c r="U1127" s="4"/>
      <c r="V1127" s="4"/>
      <c r="W1127" s="4"/>
      <c r="X1127" s="4"/>
      <c r="Y1127" s="4"/>
      <c r="Z1127" s="4"/>
    </row>
    <row r="1128" spans="1:26" ht="13.2">
      <c r="A1128" s="4"/>
      <c r="B1128" s="4"/>
      <c r="C1128" s="4"/>
      <c r="D1128" s="4"/>
      <c r="E1128" s="4"/>
      <c r="F1128" s="4"/>
      <c r="G1128" s="4"/>
      <c r="H1128" s="4"/>
      <c r="I1128" s="4"/>
      <c r="J1128" s="4"/>
      <c r="K1128" s="4"/>
      <c r="L1128" s="4"/>
      <c r="M1128" s="4"/>
      <c r="N1128" s="4"/>
      <c r="O1128" s="4"/>
      <c r="P1128" s="4"/>
      <c r="Q1128" s="4"/>
      <c r="R1128" s="4"/>
      <c r="S1128" s="4"/>
      <c r="T1128" s="4"/>
      <c r="U1128" s="4"/>
      <c r="V1128" s="4"/>
      <c r="W1128" s="4"/>
      <c r="X1128" s="4"/>
      <c r="Y1128" s="4"/>
      <c r="Z1128" s="4"/>
    </row>
    <row r="1129" spans="1:26" ht="13.2">
      <c r="A1129" s="4"/>
      <c r="B1129" s="4"/>
      <c r="C1129" s="4"/>
      <c r="D1129" s="4"/>
      <c r="E1129" s="4"/>
      <c r="F1129" s="4"/>
      <c r="G1129" s="4"/>
      <c r="H1129" s="4"/>
      <c r="I1129" s="4"/>
      <c r="J1129" s="4"/>
      <c r="K1129" s="4"/>
      <c r="L1129" s="4"/>
      <c r="M1129" s="4"/>
      <c r="N1129" s="4"/>
      <c r="O1129" s="4"/>
      <c r="P1129" s="4"/>
      <c r="Q1129" s="4"/>
      <c r="R1129" s="4"/>
      <c r="S1129" s="4"/>
      <c r="T1129" s="4"/>
      <c r="U1129" s="4"/>
      <c r="V1129" s="4"/>
      <c r="W1129" s="4"/>
      <c r="X1129" s="4"/>
      <c r="Y1129" s="4"/>
      <c r="Z1129" s="4"/>
    </row>
    <row r="1130" spans="1:26" ht="13.2">
      <c r="A1130" s="4"/>
      <c r="B1130" s="4"/>
      <c r="C1130" s="4"/>
      <c r="D1130" s="4"/>
      <c r="E1130" s="4"/>
      <c r="F1130" s="4"/>
      <c r="G1130" s="4"/>
      <c r="H1130" s="4"/>
      <c r="I1130" s="4"/>
      <c r="J1130" s="4"/>
      <c r="K1130" s="4"/>
      <c r="L1130" s="4"/>
      <c r="M1130" s="4"/>
      <c r="N1130" s="4"/>
      <c r="O1130" s="4"/>
      <c r="P1130" s="4"/>
      <c r="Q1130" s="4"/>
      <c r="R1130" s="4"/>
      <c r="S1130" s="4"/>
      <c r="T1130" s="4"/>
      <c r="U1130" s="4"/>
      <c r="V1130" s="4"/>
      <c r="W1130" s="4"/>
      <c r="X1130" s="4"/>
      <c r="Y1130" s="4"/>
      <c r="Z1130" s="4"/>
    </row>
    <row r="1131" spans="1:26" ht="13.2">
      <c r="A1131" s="4"/>
      <c r="B1131" s="4"/>
      <c r="C1131" s="4"/>
      <c r="D1131" s="4"/>
      <c r="E1131" s="4"/>
      <c r="F1131" s="4"/>
      <c r="G1131" s="4"/>
      <c r="H1131" s="4"/>
      <c r="I1131" s="4"/>
      <c r="J1131" s="4"/>
      <c r="K1131" s="4"/>
      <c r="L1131" s="4"/>
      <c r="M1131" s="4"/>
      <c r="N1131" s="4"/>
      <c r="O1131" s="4"/>
      <c r="P1131" s="4"/>
      <c r="Q1131" s="4"/>
      <c r="R1131" s="4"/>
      <c r="S1131" s="4"/>
      <c r="T1131" s="4"/>
      <c r="U1131" s="4"/>
      <c r="V1131" s="4"/>
      <c r="W1131" s="4"/>
      <c r="X1131" s="4"/>
      <c r="Y1131" s="4"/>
      <c r="Z1131" s="4"/>
    </row>
    <row r="1132" spans="1:26" ht="13.2">
      <c r="A1132" s="4"/>
      <c r="B1132" s="4"/>
      <c r="C1132" s="4"/>
      <c r="D1132" s="4"/>
      <c r="E1132" s="4"/>
      <c r="F1132" s="4"/>
      <c r="G1132" s="4"/>
      <c r="H1132" s="4"/>
      <c r="I1132" s="4"/>
      <c r="J1132" s="4"/>
      <c r="K1132" s="4"/>
      <c r="L1132" s="4"/>
      <c r="M1132" s="4"/>
      <c r="N1132" s="4"/>
      <c r="O1132" s="4"/>
      <c r="P1132" s="4"/>
      <c r="Q1132" s="4"/>
      <c r="R1132" s="4"/>
      <c r="S1132" s="4"/>
      <c r="T1132" s="4"/>
      <c r="U1132" s="4"/>
      <c r="V1132" s="4"/>
      <c r="W1132" s="4"/>
      <c r="X1132" s="4"/>
      <c r="Y1132" s="4"/>
      <c r="Z1132" s="4"/>
    </row>
    <row r="1133" spans="1:26" ht="13.2">
      <c r="A1133" s="4"/>
      <c r="B1133" s="4"/>
      <c r="C1133" s="4"/>
      <c r="D1133" s="4"/>
      <c r="E1133" s="4"/>
      <c r="F1133" s="4"/>
      <c r="G1133" s="4"/>
      <c r="H1133" s="4"/>
      <c r="I1133" s="4"/>
      <c r="J1133" s="4"/>
      <c r="K1133" s="4"/>
      <c r="L1133" s="4"/>
      <c r="M1133" s="4"/>
      <c r="N1133" s="4"/>
      <c r="O1133" s="4"/>
      <c r="P1133" s="4"/>
      <c r="Q1133" s="4"/>
      <c r="R1133" s="4"/>
      <c r="S1133" s="4"/>
      <c r="T1133" s="4"/>
      <c r="U1133" s="4"/>
      <c r="V1133" s="4"/>
      <c r="W1133" s="4"/>
      <c r="X1133" s="4"/>
      <c r="Y1133" s="4"/>
      <c r="Z1133" s="4"/>
    </row>
  </sheetData>
  <mergeCells count="3">
    <mergeCell ref="A24:F24"/>
    <mergeCell ref="A80:F80"/>
    <mergeCell ref="A186:C186"/>
  </mergeCells>
  <hyperlinks>
    <hyperlink ref="F26" r:id="rId1" xr:uid="{00000000-0004-0000-0400-000000000000}"/>
    <hyperlink ref="F28" r:id="rId2" xr:uid="{00000000-0004-0000-0400-000001000000}"/>
    <hyperlink ref="F29" r:id="rId3" xr:uid="{00000000-0004-0000-0400-000002000000}"/>
    <hyperlink ref="F30" r:id="rId4" xr:uid="{00000000-0004-0000-0400-000003000000}"/>
    <hyperlink ref="F32" r:id="rId5" xr:uid="{00000000-0004-0000-0400-000004000000}"/>
    <hyperlink ref="F33" r:id="rId6" xr:uid="{00000000-0004-0000-0400-000005000000}"/>
    <hyperlink ref="F34" r:id="rId7" xr:uid="{00000000-0004-0000-0400-000006000000}"/>
    <hyperlink ref="F36" r:id="rId8" xr:uid="{00000000-0004-0000-0400-000007000000}"/>
    <hyperlink ref="F37" r:id="rId9" xr:uid="{00000000-0004-0000-0400-000008000000}"/>
    <hyperlink ref="F38" r:id="rId10" xr:uid="{00000000-0004-0000-0400-000009000000}"/>
    <hyperlink ref="F39" r:id="rId11" xr:uid="{00000000-0004-0000-0400-00000A000000}"/>
    <hyperlink ref="F40" r:id="rId12" xr:uid="{00000000-0004-0000-0400-00000B000000}"/>
    <hyperlink ref="F41" r:id="rId13" xr:uid="{00000000-0004-0000-0400-00000C000000}"/>
    <hyperlink ref="F42" r:id="rId14" xr:uid="{00000000-0004-0000-0400-00000D000000}"/>
    <hyperlink ref="F43" r:id="rId15" xr:uid="{00000000-0004-0000-0400-00000E000000}"/>
    <hyperlink ref="F44" r:id="rId16" xr:uid="{00000000-0004-0000-0400-00000F000000}"/>
    <hyperlink ref="F45" r:id="rId17" xr:uid="{00000000-0004-0000-0400-000010000000}"/>
    <hyperlink ref="F46" r:id="rId18" xr:uid="{00000000-0004-0000-0400-000011000000}"/>
    <hyperlink ref="F47" r:id="rId19" xr:uid="{00000000-0004-0000-0400-000012000000}"/>
    <hyperlink ref="F48" r:id="rId20" xr:uid="{00000000-0004-0000-0400-000013000000}"/>
    <hyperlink ref="F49" r:id="rId21" xr:uid="{00000000-0004-0000-0400-000014000000}"/>
    <hyperlink ref="F50" r:id="rId22" xr:uid="{00000000-0004-0000-0400-000015000000}"/>
    <hyperlink ref="F51" r:id="rId23" xr:uid="{00000000-0004-0000-0400-000016000000}"/>
    <hyperlink ref="F52" r:id="rId24" xr:uid="{00000000-0004-0000-0400-000017000000}"/>
    <hyperlink ref="F53" r:id="rId25" xr:uid="{00000000-0004-0000-0400-000018000000}"/>
    <hyperlink ref="F54" r:id="rId26" xr:uid="{00000000-0004-0000-0400-000019000000}"/>
    <hyperlink ref="F55" r:id="rId27" xr:uid="{00000000-0004-0000-0400-00001A000000}"/>
    <hyperlink ref="F59" r:id="rId28" xr:uid="{00000000-0004-0000-0400-00001B000000}"/>
    <hyperlink ref="F60" r:id="rId29" xr:uid="{00000000-0004-0000-0400-00001C000000}"/>
    <hyperlink ref="F63" r:id="rId30" xr:uid="{00000000-0004-0000-0400-00001D000000}"/>
    <hyperlink ref="F64" r:id="rId31" xr:uid="{00000000-0004-0000-0400-00001E000000}"/>
    <hyperlink ref="F65" r:id="rId32" xr:uid="{00000000-0004-0000-0400-00001F000000}"/>
    <hyperlink ref="F66" r:id="rId33" xr:uid="{00000000-0004-0000-0400-000020000000}"/>
    <hyperlink ref="F67" r:id="rId34" xr:uid="{00000000-0004-0000-0400-000021000000}"/>
    <hyperlink ref="F73" r:id="rId35" xr:uid="{00000000-0004-0000-0400-000022000000}"/>
    <hyperlink ref="F74" r:id="rId36" xr:uid="{00000000-0004-0000-0400-000023000000}"/>
    <hyperlink ref="F82" r:id="rId37" xr:uid="{00000000-0004-0000-0400-000024000000}"/>
    <hyperlink ref="F83" r:id="rId38" xr:uid="{00000000-0004-0000-0400-000025000000}"/>
    <hyperlink ref="F84" r:id="rId39" xr:uid="{00000000-0004-0000-0400-000026000000}"/>
    <hyperlink ref="F85" r:id="rId40" xr:uid="{00000000-0004-0000-0400-000027000000}"/>
    <hyperlink ref="F86" r:id="rId41" xr:uid="{00000000-0004-0000-0400-000028000000}"/>
    <hyperlink ref="F87" r:id="rId42" xr:uid="{00000000-0004-0000-0400-000029000000}"/>
    <hyperlink ref="F88" r:id="rId43" xr:uid="{00000000-0004-0000-0400-00002A000000}"/>
    <hyperlink ref="F89" r:id="rId44" xr:uid="{00000000-0004-0000-0400-00002B000000}"/>
    <hyperlink ref="F90" r:id="rId45" xr:uid="{00000000-0004-0000-0400-00002C000000}"/>
    <hyperlink ref="F91" r:id="rId46" xr:uid="{00000000-0004-0000-0400-00002D000000}"/>
    <hyperlink ref="F92" r:id="rId47" xr:uid="{00000000-0004-0000-0400-00002E000000}"/>
    <hyperlink ref="F93" r:id="rId48" xr:uid="{00000000-0004-0000-0400-00002F000000}"/>
    <hyperlink ref="F95" r:id="rId49" xr:uid="{00000000-0004-0000-0400-000030000000}"/>
    <hyperlink ref="F96" r:id="rId50" xr:uid="{00000000-0004-0000-0400-000031000000}"/>
    <hyperlink ref="F97" r:id="rId51" xr:uid="{00000000-0004-0000-0400-000032000000}"/>
    <hyperlink ref="F98" r:id="rId52" xr:uid="{00000000-0004-0000-0400-000033000000}"/>
    <hyperlink ref="F99" r:id="rId53" xr:uid="{00000000-0004-0000-0400-000034000000}"/>
    <hyperlink ref="F100" r:id="rId54" xr:uid="{00000000-0004-0000-0400-000035000000}"/>
    <hyperlink ref="F101" r:id="rId55" xr:uid="{00000000-0004-0000-0400-000036000000}"/>
    <hyperlink ref="F102" r:id="rId56" xr:uid="{00000000-0004-0000-0400-000037000000}"/>
    <hyperlink ref="F103" r:id="rId57" xr:uid="{00000000-0004-0000-0400-000038000000}"/>
    <hyperlink ref="F104" r:id="rId58" xr:uid="{00000000-0004-0000-0400-000039000000}"/>
    <hyperlink ref="F105" r:id="rId59" xr:uid="{00000000-0004-0000-0400-00003A000000}"/>
    <hyperlink ref="F106" r:id="rId60" xr:uid="{00000000-0004-0000-0400-00003B000000}"/>
    <hyperlink ref="F107" r:id="rId61" xr:uid="{00000000-0004-0000-0400-00003C000000}"/>
    <hyperlink ref="F108" r:id="rId62" xr:uid="{00000000-0004-0000-0400-00003D000000}"/>
    <hyperlink ref="F109" r:id="rId63" xr:uid="{00000000-0004-0000-0400-00003E000000}"/>
    <hyperlink ref="F110" r:id="rId64" xr:uid="{00000000-0004-0000-0400-00003F000000}"/>
    <hyperlink ref="F112" r:id="rId65" xr:uid="{00000000-0004-0000-0400-000040000000}"/>
    <hyperlink ref="F113" r:id="rId66" xr:uid="{00000000-0004-0000-0400-000041000000}"/>
    <hyperlink ref="F115" r:id="rId67" xr:uid="{00000000-0004-0000-0400-000042000000}"/>
    <hyperlink ref="F116" r:id="rId68" xr:uid="{00000000-0004-0000-0400-000043000000}"/>
    <hyperlink ref="F118" r:id="rId69" xr:uid="{00000000-0004-0000-0400-000044000000}"/>
    <hyperlink ref="F119" r:id="rId70" xr:uid="{00000000-0004-0000-0400-000045000000}"/>
    <hyperlink ref="F120" r:id="rId71" xr:uid="{00000000-0004-0000-0400-000046000000}"/>
    <hyperlink ref="F121" r:id="rId72" xr:uid="{00000000-0004-0000-0400-000047000000}"/>
    <hyperlink ref="F122" r:id="rId73" xr:uid="{00000000-0004-0000-0400-000048000000}"/>
    <hyperlink ref="F124" r:id="rId74" xr:uid="{00000000-0004-0000-0400-000049000000}"/>
    <hyperlink ref="F125" r:id="rId75" xr:uid="{00000000-0004-0000-0400-00004A000000}"/>
    <hyperlink ref="F126" r:id="rId76" xr:uid="{00000000-0004-0000-0400-00004B000000}"/>
    <hyperlink ref="F127" r:id="rId77" xr:uid="{00000000-0004-0000-0400-00004C000000}"/>
    <hyperlink ref="F128" r:id="rId78" xr:uid="{00000000-0004-0000-0400-00004D000000}"/>
    <hyperlink ref="F130" r:id="rId79" xr:uid="{00000000-0004-0000-0400-00004E000000}"/>
    <hyperlink ref="F131" r:id="rId80" xr:uid="{00000000-0004-0000-0400-00004F000000}"/>
    <hyperlink ref="F134" r:id="rId81" xr:uid="{00000000-0004-0000-0400-000050000000}"/>
    <hyperlink ref="F135" r:id="rId82" xr:uid="{00000000-0004-0000-0400-000051000000}"/>
    <hyperlink ref="F137" r:id="rId83" xr:uid="{00000000-0004-0000-0400-000052000000}"/>
    <hyperlink ref="F138" r:id="rId84" xr:uid="{00000000-0004-0000-0400-000053000000}"/>
    <hyperlink ref="F139" r:id="rId85" xr:uid="{00000000-0004-0000-0400-000054000000}"/>
    <hyperlink ref="F140" r:id="rId86" xr:uid="{00000000-0004-0000-0400-000055000000}"/>
    <hyperlink ref="F141" r:id="rId87" xr:uid="{00000000-0004-0000-0400-000056000000}"/>
    <hyperlink ref="F142" r:id="rId88" xr:uid="{00000000-0004-0000-0400-000057000000}"/>
    <hyperlink ref="F143" r:id="rId89" xr:uid="{00000000-0004-0000-0400-000058000000}"/>
    <hyperlink ref="F145" r:id="rId90" xr:uid="{00000000-0004-0000-0400-000059000000}"/>
    <hyperlink ref="F146" r:id="rId91" xr:uid="{00000000-0004-0000-0400-00005A000000}"/>
    <hyperlink ref="F147" r:id="rId92" xr:uid="{00000000-0004-0000-0400-00005B000000}"/>
    <hyperlink ref="F148" r:id="rId93" xr:uid="{00000000-0004-0000-0400-00005C000000}"/>
    <hyperlink ref="F149" r:id="rId94" xr:uid="{00000000-0004-0000-0400-00005D000000}"/>
    <hyperlink ref="F150" r:id="rId95" xr:uid="{00000000-0004-0000-0400-00005E000000}"/>
    <hyperlink ref="F151" r:id="rId96" xr:uid="{00000000-0004-0000-0400-00005F000000}"/>
    <hyperlink ref="F152" r:id="rId97" xr:uid="{00000000-0004-0000-0400-000060000000}"/>
    <hyperlink ref="F153" r:id="rId98" xr:uid="{00000000-0004-0000-0400-000061000000}"/>
    <hyperlink ref="F154" r:id="rId99" xr:uid="{00000000-0004-0000-0400-000062000000}"/>
    <hyperlink ref="F155" r:id="rId100" xr:uid="{00000000-0004-0000-0400-000063000000}"/>
    <hyperlink ref="F156" r:id="rId101" xr:uid="{00000000-0004-0000-0400-000064000000}"/>
    <hyperlink ref="F157" r:id="rId102" xr:uid="{00000000-0004-0000-0400-000065000000}"/>
    <hyperlink ref="F158" r:id="rId103" xr:uid="{00000000-0004-0000-0400-000066000000}"/>
    <hyperlink ref="F159" r:id="rId104" xr:uid="{00000000-0004-0000-0400-000067000000}"/>
    <hyperlink ref="F160" r:id="rId105" xr:uid="{00000000-0004-0000-0400-000068000000}"/>
    <hyperlink ref="F161" r:id="rId106" xr:uid="{00000000-0004-0000-0400-000069000000}"/>
    <hyperlink ref="F162" r:id="rId107" xr:uid="{00000000-0004-0000-0400-00006A000000}"/>
    <hyperlink ref="F163" r:id="rId108" xr:uid="{00000000-0004-0000-0400-00006B000000}"/>
    <hyperlink ref="F164" r:id="rId109" xr:uid="{00000000-0004-0000-0400-00006C000000}"/>
    <hyperlink ref="F165" r:id="rId110" xr:uid="{00000000-0004-0000-0400-00006D000000}"/>
    <hyperlink ref="F166" r:id="rId111" xr:uid="{00000000-0004-0000-0400-00006E000000}"/>
    <hyperlink ref="F167" r:id="rId112" xr:uid="{00000000-0004-0000-0400-00006F000000}"/>
    <hyperlink ref="F168" r:id="rId113" xr:uid="{00000000-0004-0000-0400-000070000000}"/>
    <hyperlink ref="F169" r:id="rId114" xr:uid="{00000000-0004-0000-0400-000071000000}"/>
    <hyperlink ref="F170" r:id="rId115" xr:uid="{00000000-0004-0000-0400-000072000000}"/>
    <hyperlink ref="F171" r:id="rId116" xr:uid="{00000000-0004-0000-0400-000073000000}"/>
    <hyperlink ref="F173" r:id="rId117" xr:uid="{00000000-0004-0000-0400-000074000000}"/>
    <hyperlink ref="F176" r:id="rId118" xr:uid="{00000000-0004-0000-0400-000075000000}"/>
    <hyperlink ref="F179" r:id="rId119" xr:uid="{00000000-0004-0000-0400-000076000000}"/>
    <hyperlink ref="F180" r:id="rId120" xr:uid="{00000000-0004-0000-0400-000077000000}"/>
    <hyperlink ref="F181" r:id="rId121" xr:uid="{00000000-0004-0000-0400-000078000000}"/>
    <hyperlink ref="F182" r:id="rId122" xr:uid="{00000000-0004-0000-0400-000079000000}"/>
    <hyperlink ref="C190" r:id="rId123" xr:uid="{00000000-0004-0000-0400-00007A000000}"/>
    <hyperlink ref="C201" r:id="rId124" xr:uid="{00000000-0004-0000-0400-00007B000000}"/>
    <hyperlink ref="C207" r:id="rId125" xr:uid="{00000000-0004-0000-0400-00007C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972"/>
  <sheetViews>
    <sheetView topLeftCell="A52" workbookViewId="0"/>
  </sheetViews>
  <sheetFormatPr defaultColWidth="12.6640625" defaultRowHeight="15.75" customHeight="1"/>
  <cols>
    <col min="1" max="1" width="39.44140625" customWidth="1"/>
    <col min="2" max="2" width="46.33203125" customWidth="1"/>
    <col min="3" max="3" width="16" customWidth="1"/>
    <col min="6" max="6" width="31.88671875" customWidth="1"/>
  </cols>
  <sheetData>
    <row r="1" spans="1:26" ht="13.2">
      <c r="A1" s="53" t="s">
        <v>1</v>
      </c>
    </row>
    <row r="2" spans="1:26" ht="13.2">
      <c r="A2" s="54" t="s">
        <v>2</v>
      </c>
      <c r="B2" s="54" t="s">
        <v>9</v>
      </c>
    </row>
    <row r="3" spans="1:26" ht="13.2">
      <c r="A3" s="55" t="s">
        <v>3</v>
      </c>
      <c r="B3" s="57">
        <f>E27+B60</f>
        <v>55140</v>
      </c>
    </row>
    <row r="4" spans="1:26" ht="13.2">
      <c r="A4" s="55" t="s">
        <v>4</v>
      </c>
      <c r="B4" s="57"/>
    </row>
    <row r="5" spans="1:26" ht="13.2">
      <c r="A5" s="54" t="s">
        <v>5</v>
      </c>
      <c r="B5" s="57">
        <f>SUM(B3:B4)</f>
        <v>55140</v>
      </c>
    </row>
    <row r="6" spans="1:26" ht="13.2"/>
    <row r="7" spans="1:26" ht="13.2"/>
    <row r="8" spans="1:26" ht="13.2">
      <c r="A8" s="53" t="s">
        <v>286</v>
      </c>
    </row>
    <row r="9" spans="1:26" ht="13.2">
      <c r="A9" s="54" t="s">
        <v>287</v>
      </c>
      <c r="B9" s="54" t="s">
        <v>288</v>
      </c>
    </row>
    <row r="10" spans="1:26" ht="13.2">
      <c r="A10" s="55" t="s">
        <v>289</v>
      </c>
      <c r="B10" s="55" t="s">
        <v>290</v>
      </c>
    </row>
    <row r="11" spans="1:26" ht="13.2">
      <c r="A11" s="55" t="s">
        <v>291</v>
      </c>
      <c r="B11" s="55" t="s">
        <v>292</v>
      </c>
    </row>
    <row r="12" spans="1:26" ht="13.2">
      <c r="A12" s="55" t="s">
        <v>293</v>
      </c>
      <c r="B12" s="55" t="s">
        <v>292</v>
      </c>
    </row>
    <row r="13" spans="1:26" ht="13.2">
      <c r="A13" s="55" t="s">
        <v>294</v>
      </c>
      <c r="B13" s="55" t="s">
        <v>290</v>
      </c>
    </row>
    <row r="14" spans="1:26" ht="13.2">
      <c r="A14" s="55" t="s">
        <v>295</v>
      </c>
      <c r="B14" s="55" t="s">
        <v>290</v>
      </c>
    </row>
    <row r="15" spans="1:26" ht="13.2">
      <c r="A15" s="58"/>
      <c r="B15" s="58"/>
      <c r="C15" s="58"/>
      <c r="D15" s="58"/>
      <c r="E15" s="58"/>
      <c r="F15" s="58"/>
      <c r="G15" s="58"/>
      <c r="H15" s="58"/>
      <c r="I15" s="58"/>
      <c r="J15" s="58"/>
      <c r="K15" s="58"/>
      <c r="L15" s="58"/>
      <c r="M15" s="58"/>
      <c r="N15" s="58"/>
      <c r="O15" s="58"/>
      <c r="P15" s="58"/>
      <c r="Q15" s="58"/>
      <c r="R15" s="58"/>
      <c r="S15" s="58"/>
      <c r="T15" s="58"/>
      <c r="U15" s="58"/>
      <c r="V15" s="58"/>
      <c r="W15" s="58"/>
      <c r="X15" s="58"/>
      <c r="Y15" s="58"/>
      <c r="Z15" s="58"/>
    </row>
    <row r="16" spans="1:26" ht="13.2"/>
    <row r="17" spans="1:26" ht="13.2">
      <c r="A17" s="234" t="s">
        <v>103</v>
      </c>
      <c r="B17" s="226"/>
      <c r="C17" s="226"/>
      <c r="D17" s="226"/>
      <c r="E17" s="226"/>
      <c r="F17" s="227"/>
    </row>
    <row r="18" spans="1:26" ht="13.2">
      <c r="A18" s="54" t="s">
        <v>44</v>
      </c>
      <c r="B18" s="54" t="s">
        <v>46</v>
      </c>
      <c r="C18" s="54" t="s">
        <v>47</v>
      </c>
      <c r="D18" s="54" t="s">
        <v>48</v>
      </c>
      <c r="E18" s="54" t="s">
        <v>9</v>
      </c>
      <c r="F18" s="54" t="s">
        <v>52</v>
      </c>
    </row>
    <row r="19" spans="1:26" ht="13.2">
      <c r="D19" s="54" t="s">
        <v>5</v>
      </c>
      <c r="E19" s="61"/>
    </row>
    <row r="20" spans="1:26" ht="13.2">
      <c r="A20" s="53"/>
      <c r="B20" s="53"/>
      <c r="C20" s="53"/>
      <c r="D20" s="53"/>
      <c r="E20" s="53"/>
      <c r="F20" s="53"/>
    </row>
    <row r="21" spans="1:26" ht="13.2">
      <c r="A21" s="234" t="s">
        <v>34</v>
      </c>
      <c r="B21" s="226"/>
      <c r="C21" s="226"/>
      <c r="D21" s="226"/>
      <c r="E21" s="226"/>
      <c r="F21" s="227"/>
    </row>
    <row r="22" spans="1:26" ht="13.2">
      <c r="A22" s="53" t="s">
        <v>254</v>
      </c>
      <c r="B22" s="58"/>
      <c r="C22" s="58"/>
      <c r="D22" s="58"/>
      <c r="E22" s="58"/>
      <c r="F22" s="58"/>
    </row>
    <row r="23" spans="1:26" ht="13.2">
      <c r="A23" s="54" t="s">
        <v>44</v>
      </c>
      <c r="B23" s="54" t="s">
        <v>46</v>
      </c>
      <c r="C23" s="54" t="s">
        <v>47</v>
      </c>
      <c r="D23" s="54" t="s">
        <v>48</v>
      </c>
      <c r="E23" s="54" t="s">
        <v>9</v>
      </c>
      <c r="F23" s="54" t="s">
        <v>52</v>
      </c>
    </row>
    <row r="24" spans="1:26" ht="13.2">
      <c r="A24" s="55" t="s">
        <v>302</v>
      </c>
      <c r="B24" s="55" t="s">
        <v>303</v>
      </c>
      <c r="C24" s="55" t="s">
        <v>304</v>
      </c>
      <c r="D24" s="55" t="s">
        <v>305</v>
      </c>
      <c r="E24" s="57">
        <v>6000</v>
      </c>
      <c r="F24" s="63" t="s">
        <v>306</v>
      </c>
    </row>
    <row r="25" spans="1:26" ht="13.2">
      <c r="A25" s="64" t="s">
        <v>310</v>
      </c>
      <c r="B25" s="64" t="s">
        <v>311</v>
      </c>
      <c r="C25" s="64" t="s">
        <v>312</v>
      </c>
      <c r="D25" s="64" t="s">
        <v>305</v>
      </c>
      <c r="E25" s="64">
        <v>25140</v>
      </c>
      <c r="F25" s="65" t="s">
        <v>313</v>
      </c>
      <c r="G25" s="58"/>
      <c r="H25" s="58"/>
      <c r="I25" s="58"/>
      <c r="J25" s="58"/>
      <c r="K25" s="58"/>
      <c r="L25" s="58"/>
      <c r="M25" s="58"/>
      <c r="N25" s="58"/>
      <c r="O25" s="58"/>
      <c r="P25" s="58"/>
      <c r="Q25" s="58"/>
      <c r="R25" s="58"/>
      <c r="S25" s="58"/>
      <c r="T25" s="58"/>
      <c r="U25" s="58"/>
      <c r="V25" s="58"/>
      <c r="W25" s="58"/>
      <c r="X25" s="58"/>
      <c r="Y25" s="58"/>
      <c r="Z25" s="58"/>
    </row>
    <row r="26" spans="1:26" ht="13.2">
      <c r="A26" s="55" t="s">
        <v>317</v>
      </c>
      <c r="B26" s="55" t="s">
        <v>318</v>
      </c>
      <c r="C26" s="55" t="s">
        <v>319</v>
      </c>
      <c r="D26" s="55">
        <v>1</v>
      </c>
      <c r="E26" s="57">
        <v>4000</v>
      </c>
      <c r="F26" s="63" t="s">
        <v>322</v>
      </c>
    </row>
    <row r="27" spans="1:26" ht="13.2">
      <c r="D27" s="54" t="s">
        <v>5</v>
      </c>
      <c r="E27" s="61">
        <f>SUM(E24:E26)</f>
        <v>35140</v>
      </c>
    </row>
    <row r="28" spans="1:26" ht="13.2">
      <c r="A28" s="53"/>
    </row>
    <row r="29" spans="1:26" ht="32.25" customHeight="1">
      <c r="A29" s="234" t="s">
        <v>110</v>
      </c>
      <c r="B29" s="226"/>
      <c r="C29" s="226"/>
      <c r="D29" s="226"/>
      <c r="E29" s="226"/>
      <c r="F29" s="227"/>
    </row>
    <row r="30" spans="1:26" ht="13.2">
      <c r="A30" s="53"/>
    </row>
    <row r="31" spans="1:26" ht="13.2">
      <c r="A31" s="54" t="s">
        <v>327</v>
      </c>
    </row>
    <row r="32" spans="1:26" ht="13.2">
      <c r="A32" s="55"/>
      <c r="B32" s="69" t="s">
        <v>328</v>
      </c>
      <c r="C32" s="69" t="s">
        <v>330</v>
      </c>
    </row>
    <row r="33" spans="1:6" ht="13.2">
      <c r="A33" s="55" t="s">
        <v>331</v>
      </c>
      <c r="B33" s="70" t="s">
        <v>332</v>
      </c>
      <c r="C33" s="70" t="s">
        <v>333</v>
      </c>
    </row>
    <row r="34" spans="1:6" ht="13.2">
      <c r="A34" s="55" t="s">
        <v>334</v>
      </c>
      <c r="B34" s="70" t="s">
        <v>335</v>
      </c>
      <c r="C34" s="70" t="s">
        <v>336</v>
      </c>
    </row>
    <row r="35" spans="1:6" ht="13.2">
      <c r="A35" s="55" t="s">
        <v>338</v>
      </c>
      <c r="B35" s="70" t="s">
        <v>339</v>
      </c>
      <c r="C35" s="70" t="s">
        <v>340</v>
      </c>
    </row>
    <row r="36" spans="1:6" ht="13.2">
      <c r="A36" s="53"/>
    </row>
    <row r="37" spans="1:6" ht="13.2">
      <c r="A37" s="54" t="s">
        <v>341</v>
      </c>
      <c r="B37" s="55" t="s">
        <v>342</v>
      </c>
      <c r="C37" s="55"/>
      <c r="D37" s="55"/>
      <c r="E37" s="55"/>
      <c r="F37" s="55"/>
    </row>
    <row r="38" spans="1:6" ht="13.2">
      <c r="A38" s="55"/>
      <c r="B38" s="54" t="s">
        <v>344</v>
      </c>
      <c r="C38" s="54" t="s">
        <v>345</v>
      </c>
      <c r="D38" s="54" t="s">
        <v>346</v>
      </c>
      <c r="E38" s="54" t="s">
        <v>347</v>
      </c>
      <c r="F38" s="54" t="s">
        <v>348</v>
      </c>
    </row>
    <row r="39" spans="1:6" ht="13.2">
      <c r="A39" s="54" t="s">
        <v>328</v>
      </c>
      <c r="B39" s="55" t="s">
        <v>350</v>
      </c>
      <c r="C39" s="71"/>
      <c r="D39" s="71"/>
      <c r="E39" s="71"/>
      <c r="F39" s="57"/>
    </row>
    <row r="40" spans="1:6" ht="13.2">
      <c r="A40" s="54" t="s">
        <v>351</v>
      </c>
      <c r="B40" s="55" t="s">
        <v>352</v>
      </c>
      <c r="C40" s="55"/>
      <c r="D40" s="55"/>
      <c r="E40" s="55"/>
      <c r="F40" s="57"/>
    </row>
    <row r="41" spans="1:6" ht="13.2">
      <c r="A41" s="54" t="s">
        <v>353</v>
      </c>
      <c r="B41" s="55" t="s">
        <v>354</v>
      </c>
      <c r="C41" s="57">
        <v>5000</v>
      </c>
      <c r="D41" s="57">
        <v>1</v>
      </c>
      <c r="E41" s="61">
        <f>C41*D41</f>
        <v>5000</v>
      </c>
      <c r="F41" s="57" t="s">
        <v>356</v>
      </c>
    </row>
    <row r="42" spans="1:6" ht="13.2">
      <c r="D42" s="54" t="s">
        <v>5</v>
      </c>
      <c r="E42" s="61">
        <v>5000</v>
      </c>
      <c r="F42" s="57"/>
    </row>
    <row r="43" spans="1:6" ht="13.2"/>
    <row r="44" spans="1:6" ht="13.2">
      <c r="A44" s="54" t="s">
        <v>328</v>
      </c>
      <c r="B44" s="55" t="s">
        <v>357</v>
      </c>
      <c r="C44" s="71"/>
      <c r="D44" s="71"/>
      <c r="E44" s="71"/>
      <c r="F44" s="57"/>
    </row>
    <row r="45" spans="1:6" ht="13.2">
      <c r="A45" s="54" t="s">
        <v>351</v>
      </c>
      <c r="B45" s="55" t="s">
        <v>359</v>
      </c>
      <c r="C45" s="55"/>
      <c r="D45" s="55"/>
      <c r="E45" s="55"/>
      <c r="F45" s="57"/>
    </row>
    <row r="46" spans="1:6" ht="13.2">
      <c r="A46" s="54" t="s">
        <v>353</v>
      </c>
      <c r="B46" s="55" t="s">
        <v>354</v>
      </c>
      <c r="C46" s="57">
        <v>5000</v>
      </c>
      <c r="D46" s="57">
        <v>1</v>
      </c>
      <c r="E46" s="61">
        <f>C46*D46</f>
        <v>5000</v>
      </c>
      <c r="F46" s="57" t="s">
        <v>356</v>
      </c>
    </row>
    <row r="47" spans="1:6" ht="13.2">
      <c r="D47" s="54" t="s">
        <v>5</v>
      </c>
      <c r="E47" s="61">
        <v>5000</v>
      </c>
      <c r="F47" s="57"/>
    </row>
    <row r="48" spans="1:6" ht="13.2"/>
    <row r="49" spans="1:7" ht="13.2">
      <c r="A49" s="54" t="s">
        <v>328</v>
      </c>
      <c r="B49" s="55" t="s">
        <v>361</v>
      </c>
      <c r="C49" s="71"/>
      <c r="D49" s="71"/>
      <c r="E49" s="71"/>
      <c r="F49" s="57"/>
    </row>
    <row r="50" spans="1:7" ht="13.2">
      <c r="A50" s="54" t="s">
        <v>351</v>
      </c>
      <c r="B50" s="55" t="s">
        <v>362</v>
      </c>
      <c r="C50" s="55"/>
      <c r="D50" s="55"/>
      <c r="E50" s="55"/>
      <c r="F50" s="57"/>
    </row>
    <row r="51" spans="1:7" ht="13.2">
      <c r="A51" s="54" t="s">
        <v>353</v>
      </c>
      <c r="B51" s="55" t="s">
        <v>354</v>
      </c>
      <c r="C51" s="57">
        <v>5000</v>
      </c>
      <c r="D51" s="57">
        <v>1</v>
      </c>
      <c r="E51" s="61">
        <f>C51*D51</f>
        <v>5000</v>
      </c>
      <c r="F51" s="57" t="s">
        <v>356</v>
      </c>
    </row>
    <row r="52" spans="1:7" ht="13.2">
      <c r="D52" s="54" t="s">
        <v>5</v>
      </c>
      <c r="E52" s="61">
        <v>5000</v>
      </c>
      <c r="F52" s="61"/>
    </row>
    <row r="53" spans="1:7" ht="13.2">
      <c r="F53" s="58"/>
    </row>
    <row r="54" spans="1:7" ht="13.2">
      <c r="A54" s="54" t="s">
        <v>328</v>
      </c>
      <c r="B54" s="55" t="s">
        <v>364</v>
      </c>
      <c r="C54" s="57"/>
      <c r="D54" s="57"/>
      <c r="E54" s="61"/>
      <c r="F54" s="57"/>
    </row>
    <row r="55" spans="1:7" ht="13.2">
      <c r="A55" s="54" t="s">
        <v>351</v>
      </c>
      <c r="B55" s="55" t="s">
        <v>365</v>
      </c>
      <c r="C55" s="55"/>
      <c r="D55" s="55"/>
      <c r="E55" s="55"/>
      <c r="F55" s="57"/>
    </row>
    <row r="56" spans="1:7" ht="13.2">
      <c r="A56" s="54" t="s">
        <v>353</v>
      </c>
      <c r="B56" s="55" t="s">
        <v>354</v>
      </c>
      <c r="C56" s="57">
        <v>5000</v>
      </c>
      <c r="D56" s="57">
        <v>1</v>
      </c>
      <c r="E56" s="61">
        <f>C56*D56</f>
        <v>5000</v>
      </c>
      <c r="F56" s="57" t="s">
        <v>356</v>
      </c>
    </row>
    <row r="57" spans="1:7" ht="13.2">
      <c r="D57" s="54" t="s">
        <v>5</v>
      </c>
      <c r="E57" s="61">
        <v>5000</v>
      </c>
    </row>
    <row r="58" spans="1:7" ht="13.2">
      <c r="G58" s="58"/>
    </row>
    <row r="59" spans="1:7" ht="13.2">
      <c r="G59" s="58"/>
    </row>
    <row r="60" spans="1:7" ht="13.2">
      <c r="A60" s="53" t="s">
        <v>369</v>
      </c>
      <c r="B60" s="72">
        <f>E42+E47+E52+E57</f>
        <v>20000</v>
      </c>
      <c r="G60" s="58"/>
    </row>
    <row r="61" spans="1:7" ht="13.2">
      <c r="G61" s="58"/>
    </row>
    <row r="62" spans="1:7" ht="13.2">
      <c r="G62" s="58"/>
    </row>
    <row r="63" spans="1:7" ht="13.2">
      <c r="G63" s="58"/>
    </row>
    <row r="64" spans="1:7"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sheetData>
  <mergeCells count="3">
    <mergeCell ref="A17:F17"/>
    <mergeCell ref="A21:F21"/>
    <mergeCell ref="A29:F29"/>
  </mergeCells>
  <hyperlinks>
    <hyperlink ref="F24" r:id="rId1" xr:uid="{00000000-0004-0000-0500-000000000000}"/>
    <hyperlink ref="F25" r:id="rId2" xr:uid="{00000000-0004-0000-0500-000001000000}"/>
    <hyperlink ref="F26" r:id="rId3" xr:uid="{00000000-0004-0000-05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1"/>
  <sheetViews>
    <sheetView topLeftCell="P37" workbookViewId="0">
      <selection activeCell="E22" sqref="E22"/>
    </sheetView>
  </sheetViews>
  <sheetFormatPr defaultColWidth="12.6640625" defaultRowHeight="15.75" customHeight="1"/>
  <cols>
    <col min="1" max="1" width="23" customWidth="1"/>
    <col min="2" max="2" width="37.6640625" customWidth="1"/>
    <col min="3" max="3" width="30.33203125" customWidth="1"/>
    <col min="4" max="4" width="28" customWidth="1"/>
    <col min="5" max="5" width="20.88671875" customWidth="1"/>
    <col min="6" max="6" width="19" customWidth="1"/>
  </cols>
  <sheetData>
    <row r="1" spans="1:26" ht="13.2">
      <c r="A1" s="13" t="s">
        <v>1</v>
      </c>
      <c r="B1" s="6"/>
      <c r="C1" s="6"/>
      <c r="D1" s="6"/>
      <c r="E1" s="6"/>
      <c r="F1" s="6"/>
      <c r="G1" s="4"/>
      <c r="H1" s="4"/>
      <c r="I1" s="4"/>
      <c r="J1" s="4"/>
      <c r="K1" s="4"/>
      <c r="L1" s="4"/>
      <c r="M1" s="4"/>
      <c r="N1" s="4"/>
      <c r="O1" s="4"/>
      <c r="P1" s="4"/>
      <c r="Q1" s="4"/>
      <c r="R1" s="4"/>
      <c r="S1" s="4"/>
      <c r="T1" s="4"/>
      <c r="U1" s="4"/>
      <c r="V1" s="4"/>
      <c r="W1" s="4"/>
      <c r="X1" s="4"/>
      <c r="Y1" s="4"/>
      <c r="Z1" s="4"/>
    </row>
    <row r="2" spans="1:26" ht="13.2">
      <c r="A2" s="3" t="s">
        <v>2</v>
      </c>
      <c r="B2" s="3" t="s">
        <v>9</v>
      </c>
      <c r="C2" s="6"/>
      <c r="D2" s="6"/>
      <c r="E2" s="6"/>
      <c r="F2" s="6"/>
      <c r="G2" s="4"/>
      <c r="H2" s="4"/>
      <c r="I2" s="4"/>
      <c r="J2" s="4"/>
      <c r="K2" s="4"/>
      <c r="L2" s="4"/>
      <c r="M2" s="4"/>
      <c r="N2" s="4"/>
      <c r="O2" s="4"/>
      <c r="P2" s="4"/>
      <c r="Q2" s="4"/>
      <c r="R2" s="4"/>
      <c r="S2" s="4"/>
      <c r="T2" s="4"/>
      <c r="U2" s="4"/>
      <c r="V2" s="4"/>
      <c r="W2" s="4"/>
      <c r="X2" s="4"/>
      <c r="Y2" s="4"/>
      <c r="Z2" s="4"/>
    </row>
    <row r="3" spans="1:26" ht="13.2">
      <c r="A3" s="7" t="s">
        <v>3</v>
      </c>
      <c r="B3" s="11">
        <f>SUM(E30,E50)</f>
        <v>53550</v>
      </c>
      <c r="C3" s="6"/>
      <c r="D3" s="6"/>
      <c r="E3" s="6"/>
      <c r="F3" s="6"/>
      <c r="G3" s="4"/>
      <c r="H3" s="4"/>
      <c r="I3" s="4"/>
      <c r="J3" s="4"/>
      <c r="K3" s="4"/>
      <c r="L3" s="4"/>
      <c r="M3" s="4"/>
      <c r="N3" s="4"/>
      <c r="O3" s="4"/>
      <c r="P3" s="4"/>
      <c r="Q3" s="4"/>
      <c r="R3" s="4"/>
      <c r="S3" s="4"/>
      <c r="T3" s="4"/>
      <c r="U3" s="4"/>
      <c r="V3" s="4"/>
      <c r="W3" s="4"/>
      <c r="X3" s="4"/>
      <c r="Y3" s="4"/>
      <c r="Z3" s="4"/>
    </row>
    <row r="4" spans="1:26" ht="13.2">
      <c r="A4" s="7" t="s">
        <v>4</v>
      </c>
      <c r="B4" s="11">
        <f>SUM(E37)</f>
        <v>22000</v>
      </c>
      <c r="C4" s="6"/>
      <c r="D4" s="6"/>
      <c r="E4" s="6"/>
      <c r="F4" s="6"/>
      <c r="G4" s="4"/>
      <c r="H4" s="4"/>
      <c r="I4" s="4"/>
      <c r="J4" s="4"/>
      <c r="K4" s="4"/>
      <c r="L4" s="4"/>
      <c r="M4" s="4"/>
      <c r="N4" s="4"/>
      <c r="O4" s="4"/>
      <c r="P4" s="4"/>
      <c r="Q4" s="4"/>
      <c r="R4" s="4"/>
      <c r="S4" s="4"/>
      <c r="T4" s="4"/>
      <c r="U4" s="4"/>
      <c r="V4" s="4"/>
      <c r="W4" s="4"/>
      <c r="X4" s="4"/>
      <c r="Y4" s="4"/>
      <c r="Z4" s="4"/>
    </row>
    <row r="5" spans="1:26" ht="13.2">
      <c r="A5" s="3" t="s">
        <v>5</v>
      </c>
      <c r="B5" s="11">
        <f>SUM(B3:B4)</f>
        <v>75550</v>
      </c>
      <c r="C5" s="59"/>
      <c r="D5" s="6"/>
      <c r="E5" s="6"/>
      <c r="F5" s="6"/>
      <c r="G5" s="4"/>
      <c r="H5" s="4"/>
      <c r="I5" s="4"/>
      <c r="J5" s="4"/>
      <c r="K5" s="4"/>
      <c r="L5" s="4"/>
      <c r="M5" s="4"/>
      <c r="N5" s="4"/>
      <c r="O5" s="4"/>
      <c r="P5" s="4"/>
      <c r="Q5" s="4"/>
      <c r="R5" s="4"/>
      <c r="S5" s="4"/>
      <c r="T5" s="4"/>
      <c r="U5" s="4"/>
      <c r="V5" s="4"/>
      <c r="W5" s="4"/>
      <c r="X5" s="4"/>
      <c r="Y5" s="4"/>
      <c r="Z5" s="4"/>
    </row>
    <row r="6" spans="1:26" ht="13.2">
      <c r="A6" s="6"/>
      <c r="B6" s="6"/>
      <c r="C6" s="59"/>
      <c r="D6" s="6"/>
      <c r="E6" s="6"/>
      <c r="F6" s="6"/>
      <c r="G6" s="4"/>
      <c r="H6" s="4"/>
      <c r="I6" s="4"/>
      <c r="J6" s="4"/>
      <c r="K6" s="4"/>
      <c r="L6" s="4"/>
      <c r="M6" s="4"/>
      <c r="N6" s="4"/>
      <c r="O6" s="4"/>
      <c r="P6" s="4"/>
      <c r="Q6" s="4"/>
      <c r="R6" s="4"/>
      <c r="S6" s="4"/>
      <c r="T6" s="4"/>
      <c r="U6" s="4"/>
      <c r="V6" s="4"/>
      <c r="W6" s="4"/>
      <c r="X6" s="4"/>
      <c r="Y6" s="4"/>
      <c r="Z6" s="4"/>
    </row>
    <row r="7" spans="1:26" ht="13.2">
      <c r="A7" s="13" t="s">
        <v>14</v>
      </c>
      <c r="B7" s="6"/>
      <c r="C7" s="60"/>
      <c r="D7" s="6"/>
      <c r="E7" s="6"/>
      <c r="F7" s="6"/>
      <c r="G7" s="4"/>
      <c r="H7" s="4"/>
      <c r="I7" s="4"/>
      <c r="J7" s="4"/>
      <c r="K7" s="4"/>
      <c r="L7" s="4"/>
      <c r="M7" s="4"/>
      <c r="N7" s="4"/>
      <c r="O7" s="4"/>
      <c r="P7" s="4"/>
      <c r="Q7" s="4"/>
      <c r="R7" s="4"/>
      <c r="S7" s="4"/>
      <c r="T7" s="4"/>
      <c r="U7" s="4"/>
      <c r="V7" s="4"/>
      <c r="W7" s="4"/>
      <c r="X7" s="4"/>
      <c r="Y7" s="4"/>
      <c r="Z7" s="4"/>
    </row>
    <row r="8" spans="1:26" ht="13.2">
      <c r="A8" s="7" t="s">
        <v>296</v>
      </c>
      <c r="B8" s="6"/>
      <c r="C8" s="6"/>
      <c r="D8" s="6"/>
      <c r="E8" s="6"/>
      <c r="F8" s="6"/>
      <c r="G8" s="4"/>
      <c r="H8" s="4"/>
      <c r="I8" s="4"/>
      <c r="J8" s="4"/>
      <c r="K8" s="4"/>
      <c r="L8" s="4"/>
      <c r="M8" s="4"/>
      <c r="N8" s="4"/>
      <c r="O8" s="4"/>
      <c r="P8" s="4"/>
      <c r="Q8" s="4"/>
      <c r="R8" s="4"/>
      <c r="S8" s="4"/>
      <c r="T8" s="4"/>
      <c r="U8" s="4"/>
      <c r="V8" s="4"/>
      <c r="W8" s="4"/>
      <c r="X8" s="4"/>
      <c r="Y8" s="4"/>
      <c r="Z8" s="4"/>
    </row>
    <row r="9" spans="1:26" ht="13.2">
      <c r="A9" s="7" t="s">
        <v>297</v>
      </c>
      <c r="B9" s="6"/>
      <c r="C9" s="6"/>
      <c r="D9" s="6"/>
      <c r="E9" s="6"/>
      <c r="F9" s="6"/>
      <c r="G9" s="4"/>
      <c r="H9" s="4"/>
      <c r="I9" s="4"/>
      <c r="J9" s="4"/>
      <c r="K9" s="4"/>
      <c r="L9" s="4"/>
      <c r="M9" s="4"/>
      <c r="N9" s="4"/>
      <c r="O9" s="4"/>
      <c r="P9" s="4"/>
      <c r="Q9" s="4"/>
      <c r="R9" s="4"/>
      <c r="S9" s="4"/>
      <c r="T9" s="4"/>
      <c r="U9" s="4"/>
      <c r="V9" s="4"/>
      <c r="W9" s="4"/>
      <c r="X9" s="4"/>
      <c r="Y9" s="4"/>
      <c r="Z9" s="4"/>
    </row>
    <row r="10" spans="1:26" ht="13.2">
      <c r="A10" s="7" t="s">
        <v>298</v>
      </c>
      <c r="B10" s="6"/>
      <c r="C10" s="6"/>
      <c r="D10" s="6"/>
      <c r="E10" s="6"/>
      <c r="F10" s="6"/>
      <c r="G10" s="4"/>
      <c r="H10" s="4"/>
      <c r="I10" s="4"/>
      <c r="J10" s="4"/>
      <c r="K10" s="4"/>
      <c r="L10" s="4"/>
      <c r="M10" s="4"/>
      <c r="N10" s="4"/>
      <c r="O10" s="4"/>
      <c r="P10" s="4"/>
      <c r="Q10" s="4"/>
      <c r="R10" s="4"/>
      <c r="S10" s="4"/>
      <c r="T10" s="4"/>
      <c r="U10" s="4"/>
      <c r="V10" s="4"/>
      <c r="W10" s="4"/>
      <c r="X10" s="4"/>
      <c r="Y10" s="4"/>
      <c r="Z10" s="4"/>
    </row>
    <row r="11" spans="1:26" ht="13.2">
      <c r="A11" s="6"/>
      <c r="B11" s="6"/>
      <c r="C11" s="6"/>
      <c r="D11" s="6"/>
      <c r="E11" s="6"/>
      <c r="F11" s="6"/>
      <c r="G11" s="4"/>
      <c r="H11" s="4"/>
      <c r="I11" s="4"/>
      <c r="J11" s="4"/>
      <c r="K11" s="4"/>
      <c r="L11" s="4"/>
      <c r="M11" s="4"/>
      <c r="N11" s="4"/>
      <c r="O11" s="4"/>
      <c r="P11" s="4"/>
      <c r="Q11" s="4"/>
      <c r="R11" s="4"/>
      <c r="S11" s="4"/>
      <c r="T11" s="4"/>
      <c r="U11" s="4"/>
      <c r="V11" s="4"/>
      <c r="W11" s="4"/>
      <c r="X11" s="4"/>
      <c r="Y11" s="4"/>
      <c r="Z11" s="4"/>
    </row>
    <row r="12" spans="1:26" ht="13.2">
      <c r="A12" s="7" t="s">
        <v>300</v>
      </c>
      <c r="B12" s="6"/>
      <c r="C12" s="6"/>
      <c r="D12" s="6"/>
      <c r="E12" s="6"/>
      <c r="F12" s="6"/>
      <c r="G12" s="4"/>
      <c r="H12" s="4"/>
      <c r="I12" s="4"/>
      <c r="J12" s="4"/>
      <c r="K12" s="4"/>
      <c r="L12" s="4"/>
      <c r="M12" s="4"/>
      <c r="N12" s="4"/>
      <c r="O12" s="4"/>
      <c r="P12" s="4"/>
      <c r="Q12" s="4"/>
      <c r="R12" s="4"/>
      <c r="S12" s="4"/>
      <c r="T12" s="4"/>
      <c r="U12" s="4"/>
      <c r="V12" s="4"/>
      <c r="W12" s="4"/>
      <c r="X12" s="4"/>
      <c r="Y12" s="4"/>
      <c r="Z12" s="4"/>
    </row>
    <row r="13" spans="1:26" ht="13.2">
      <c r="A13" s="7" t="s">
        <v>301</v>
      </c>
      <c r="B13" s="6"/>
      <c r="C13" s="6"/>
      <c r="D13" s="6"/>
      <c r="E13" s="6"/>
      <c r="F13" s="6"/>
      <c r="G13" s="4"/>
      <c r="H13" s="4"/>
      <c r="I13" s="4"/>
      <c r="J13" s="4"/>
      <c r="K13" s="4"/>
      <c r="L13" s="4"/>
      <c r="M13" s="4"/>
      <c r="N13" s="4"/>
      <c r="O13" s="4"/>
      <c r="P13" s="4"/>
      <c r="Q13" s="4"/>
      <c r="R13" s="4"/>
      <c r="S13" s="4"/>
      <c r="T13" s="4"/>
      <c r="U13" s="4"/>
      <c r="V13" s="4"/>
      <c r="W13" s="4"/>
      <c r="X13" s="4"/>
      <c r="Y13" s="4"/>
      <c r="Z13" s="4"/>
    </row>
    <row r="14" spans="1:26" ht="13.2">
      <c r="A14" s="7" t="s">
        <v>298</v>
      </c>
      <c r="B14" s="6"/>
      <c r="C14" s="6"/>
      <c r="D14" s="6"/>
      <c r="E14" s="6"/>
      <c r="F14" s="6"/>
      <c r="G14" s="4"/>
      <c r="H14" s="4"/>
      <c r="I14" s="4"/>
      <c r="J14" s="4"/>
      <c r="K14" s="4"/>
      <c r="L14" s="4"/>
      <c r="M14" s="4"/>
      <c r="N14" s="4"/>
      <c r="O14" s="4"/>
      <c r="P14" s="4"/>
      <c r="Q14" s="4"/>
      <c r="R14" s="4"/>
      <c r="S14" s="4"/>
      <c r="T14" s="4"/>
      <c r="U14" s="4"/>
      <c r="V14" s="4"/>
      <c r="W14" s="4"/>
      <c r="X14" s="4"/>
      <c r="Y14" s="4"/>
      <c r="Z14" s="4"/>
    </row>
    <row r="15" spans="1:26" ht="13.2">
      <c r="A15" s="6"/>
      <c r="B15" s="6"/>
      <c r="C15" s="6"/>
      <c r="D15" s="6"/>
      <c r="E15" s="6"/>
      <c r="F15" s="6"/>
      <c r="G15" s="4"/>
      <c r="H15" s="4"/>
      <c r="I15" s="4"/>
      <c r="J15" s="4"/>
      <c r="K15" s="4"/>
      <c r="L15" s="4"/>
      <c r="M15" s="4"/>
      <c r="N15" s="4"/>
      <c r="O15" s="4"/>
      <c r="P15" s="4"/>
      <c r="Q15" s="4"/>
      <c r="R15" s="4"/>
      <c r="S15" s="4"/>
      <c r="T15" s="4"/>
      <c r="U15" s="4"/>
      <c r="V15" s="4"/>
      <c r="W15" s="4"/>
      <c r="X15" s="4"/>
      <c r="Y15" s="4"/>
      <c r="Z15" s="4"/>
    </row>
    <row r="16" spans="1:26" ht="13.2">
      <c r="A16" s="231" t="s">
        <v>34</v>
      </c>
      <c r="B16" s="226"/>
      <c r="C16" s="226"/>
      <c r="D16" s="226"/>
      <c r="E16" s="226"/>
      <c r="F16" s="227"/>
      <c r="G16" s="4"/>
      <c r="H16" s="4"/>
      <c r="I16" s="4"/>
      <c r="J16" s="4"/>
      <c r="K16" s="4"/>
      <c r="L16" s="4"/>
      <c r="M16" s="4"/>
      <c r="N16" s="4"/>
      <c r="O16" s="4"/>
      <c r="P16" s="4"/>
      <c r="Q16" s="4"/>
      <c r="R16" s="4"/>
      <c r="S16" s="4"/>
      <c r="T16" s="4"/>
      <c r="U16" s="4"/>
      <c r="V16" s="4"/>
      <c r="W16" s="4"/>
      <c r="X16" s="4"/>
      <c r="Y16" s="4"/>
      <c r="Z16" s="4"/>
    </row>
    <row r="17" spans="1:26" ht="13.2">
      <c r="A17" s="3" t="s">
        <v>44</v>
      </c>
      <c r="B17" s="3" t="s">
        <v>46</v>
      </c>
      <c r="C17" s="3" t="s">
        <v>47</v>
      </c>
      <c r="D17" s="3" t="s">
        <v>48</v>
      </c>
      <c r="E17" s="3" t="s">
        <v>9</v>
      </c>
      <c r="F17" s="3" t="s">
        <v>52</v>
      </c>
      <c r="G17" s="4"/>
      <c r="H17" s="4"/>
      <c r="I17" s="4"/>
      <c r="J17" s="4"/>
      <c r="K17" s="4"/>
      <c r="L17" s="4"/>
      <c r="M17" s="4"/>
      <c r="N17" s="4"/>
      <c r="O17" s="4"/>
      <c r="P17" s="4"/>
      <c r="Q17" s="4"/>
      <c r="R17" s="4"/>
      <c r="S17" s="4"/>
      <c r="T17" s="4"/>
      <c r="U17" s="4"/>
      <c r="V17" s="4"/>
      <c r="W17" s="4"/>
      <c r="X17" s="4"/>
      <c r="Y17" s="4"/>
      <c r="Z17" s="4"/>
    </row>
    <row r="18" spans="1:26" ht="13.2">
      <c r="A18" s="11">
        <v>1</v>
      </c>
      <c r="B18" s="7" t="s">
        <v>307</v>
      </c>
      <c r="C18" s="11">
        <v>3900</v>
      </c>
      <c r="D18" s="11">
        <v>2</v>
      </c>
      <c r="E18" s="11">
        <f t="shared" ref="E18:E29" si="0">C18*D18</f>
        <v>7800</v>
      </c>
      <c r="F18" s="62" t="s">
        <v>69</v>
      </c>
      <c r="G18" s="4"/>
      <c r="H18" s="4"/>
      <c r="I18" s="4"/>
      <c r="J18" s="4"/>
      <c r="K18" s="4"/>
      <c r="L18" s="4"/>
      <c r="M18" s="4"/>
      <c r="N18" s="4"/>
      <c r="O18" s="4"/>
      <c r="P18" s="4"/>
      <c r="Q18" s="4"/>
      <c r="R18" s="4"/>
      <c r="S18" s="4"/>
      <c r="T18" s="4"/>
      <c r="U18" s="4"/>
      <c r="V18" s="4"/>
      <c r="W18" s="4"/>
      <c r="X18" s="4"/>
      <c r="Y18" s="4"/>
      <c r="Z18" s="4"/>
    </row>
    <row r="19" spans="1:26" ht="13.2">
      <c r="A19" s="11">
        <v>2</v>
      </c>
      <c r="B19" s="7" t="s">
        <v>309</v>
      </c>
      <c r="C19" s="11">
        <v>410</v>
      </c>
      <c r="D19" s="11">
        <v>4</v>
      </c>
      <c r="E19" s="11">
        <f t="shared" si="0"/>
        <v>1640</v>
      </c>
      <c r="F19" s="62" t="s">
        <v>69</v>
      </c>
      <c r="G19" s="4"/>
      <c r="H19" s="4"/>
      <c r="I19" s="4"/>
      <c r="J19" s="4"/>
      <c r="K19" s="4"/>
      <c r="L19" s="4"/>
      <c r="M19" s="4"/>
      <c r="N19" s="4"/>
      <c r="O19" s="4"/>
      <c r="P19" s="4"/>
      <c r="Q19" s="4"/>
      <c r="R19" s="4"/>
      <c r="S19" s="4"/>
      <c r="T19" s="4"/>
      <c r="U19" s="4"/>
      <c r="V19" s="4"/>
      <c r="W19" s="4"/>
      <c r="X19" s="4"/>
      <c r="Y19" s="4"/>
      <c r="Z19" s="4"/>
    </row>
    <row r="20" spans="1:26" ht="13.2">
      <c r="A20" s="11">
        <v>3</v>
      </c>
      <c r="B20" s="7" t="s">
        <v>314</v>
      </c>
      <c r="C20" s="11">
        <v>1500</v>
      </c>
      <c r="D20" s="11">
        <v>1</v>
      </c>
      <c r="E20" s="11">
        <f t="shared" si="0"/>
        <v>1500</v>
      </c>
      <c r="F20" s="62" t="s">
        <v>69</v>
      </c>
      <c r="G20" s="4"/>
      <c r="H20" s="4"/>
      <c r="I20" s="4"/>
      <c r="J20" s="4"/>
      <c r="K20" s="4"/>
      <c r="L20" s="4"/>
      <c r="M20" s="4"/>
      <c r="N20" s="4"/>
      <c r="O20" s="4"/>
      <c r="P20" s="4"/>
      <c r="Q20" s="4"/>
      <c r="R20" s="4"/>
      <c r="S20" s="4"/>
      <c r="T20" s="4"/>
      <c r="U20" s="4"/>
      <c r="V20" s="4"/>
      <c r="W20" s="4"/>
      <c r="X20" s="4"/>
      <c r="Y20" s="4"/>
      <c r="Z20" s="4"/>
    </row>
    <row r="21" spans="1:26" ht="13.2">
      <c r="A21" s="11">
        <v>4</v>
      </c>
      <c r="B21" s="7" t="s">
        <v>315</v>
      </c>
      <c r="C21" s="11">
        <v>2700</v>
      </c>
      <c r="D21" s="11">
        <v>5</v>
      </c>
      <c r="E21" s="11">
        <f t="shared" si="0"/>
        <v>13500</v>
      </c>
      <c r="F21" s="62" t="s">
        <v>69</v>
      </c>
      <c r="G21" s="4"/>
      <c r="H21" s="4"/>
      <c r="I21" s="4"/>
      <c r="J21" s="4"/>
      <c r="K21" s="4"/>
      <c r="L21" s="4"/>
      <c r="M21" s="4"/>
      <c r="N21" s="4"/>
      <c r="O21" s="4"/>
      <c r="P21" s="4"/>
      <c r="Q21" s="4"/>
      <c r="R21" s="4"/>
      <c r="S21" s="4"/>
      <c r="T21" s="4"/>
      <c r="U21" s="4"/>
      <c r="V21" s="4"/>
      <c r="W21" s="4"/>
      <c r="X21" s="4"/>
      <c r="Y21" s="4"/>
      <c r="Z21" s="4"/>
    </row>
    <row r="22" spans="1:26" ht="13.2">
      <c r="A22" s="11">
        <v>5</v>
      </c>
      <c r="B22" s="7" t="s">
        <v>321</v>
      </c>
      <c r="C22" s="11">
        <v>3100</v>
      </c>
      <c r="D22" s="11">
        <v>1</v>
      </c>
      <c r="E22" s="11">
        <f t="shared" si="0"/>
        <v>3100</v>
      </c>
      <c r="F22" s="62" t="s">
        <v>69</v>
      </c>
      <c r="G22" s="4"/>
      <c r="H22" s="4"/>
      <c r="I22" s="4"/>
      <c r="J22" s="4"/>
      <c r="K22" s="4"/>
      <c r="L22" s="4"/>
      <c r="M22" s="4"/>
      <c r="N22" s="4"/>
      <c r="O22" s="4"/>
      <c r="P22" s="4"/>
      <c r="Q22" s="4"/>
      <c r="R22" s="4"/>
      <c r="S22" s="4"/>
      <c r="T22" s="4"/>
      <c r="U22" s="4"/>
      <c r="V22" s="4"/>
      <c r="W22" s="4"/>
      <c r="X22" s="4"/>
      <c r="Y22" s="4"/>
      <c r="Z22" s="4"/>
    </row>
    <row r="23" spans="1:26" ht="13.2">
      <c r="A23" s="11">
        <v>6</v>
      </c>
      <c r="B23" s="7" t="s">
        <v>323</v>
      </c>
      <c r="C23" s="11">
        <v>590</v>
      </c>
      <c r="D23" s="11">
        <v>1</v>
      </c>
      <c r="E23" s="11">
        <f t="shared" si="0"/>
        <v>590</v>
      </c>
      <c r="F23" s="62" t="s">
        <v>69</v>
      </c>
      <c r="G23" s="4"/>
      <c r="H23" s="4"/>
      <c r="I23" s="4"/>
      <c r="J23" s="4"/>
      <c r="K23" s="4"/>
      <c r="L23" s="4"/>
      <c r="M23" s="4"/>
      <c r="N23" s="4"/>
      <c r="O23" s="4"/>
      <c r="P23" s="4"/>
      <c r="Q23" s="4"/>
      <c r="R23" s="4"/>
      <c r="S23" s="4"/>
      <c r="T23" s="4"/>
      <c r="U23" s="4"/>
      <c r="V23" s="4"/>
      <c r="W23" s="4"/>
      <c r="X23" s="4"/>
      <c r="Y23" s="4"/>
      <c r="Z23" s="4"/>
    </row>
    <row r="24" spans="1:26" ht="13.2">
      <c r="A24" s="11">
        <v>7</v>
      </c>
      <c r="B24" s="7" t="s">
        <v>324</v>
      </c>
      <c r="C24" s="11">
        <v>350</v>
      </c>
      <c r="D24" s="11">
        <v>2</v>
      </c>
      <c r="E24" s="11">
        <f t="shared" si="0"/>
        <v>700</v>
      </c>
      <c r="F24" s="62" t="s">
        <v>69</v>
      </c>
      <c r="G24" s="4"/>
      <c r="H24" s="4"/>
      <c r="I24" s="4"/>
      <c r="J24" s="4"/>
      <c r="K24" s="4"/>
      <c r="L24" s="4"/>
      <c r="M24" s="4"/>
      <c r="N24" s="4"/>
      <c r="O24" s="4"/>
      <c r="P24" s="4"/>
      <c r="Q24" s="4"/>
      <c r="R24" s="4"/>
      <c r="S24" s="4"/>
      <c r="T24" s="4"/>
      <c r="U24" s="4"/>
      <c r="V24" s="4"/>
      <c r="W24" s="4"/>
      <c r="X24" s="4"/>
      <c r="Y24" s="4"/>
      <c r="Z24" s="4"/>
    </row>
    <row r="25" spans="1:26" ht="13.2">
      <c r="A25" s="11">
        <v>8</v>
      </c>
      <c r="B25" s="7" t="s">
        <v>325</v>
      </c>
      <c r="C25" s="11">
        <v>180</v>
      </c>
      <c r="D25" s="11">
        <v>1</v>
      </c>
      <c r="E25" s="11">
        <f t="shared" si="0"/>
        <v>180</v>
      </c>
      <c r="F25" s="62" t="s">
        <v>69</v>
      </c>
      <c r="G25" s="4"/>
      <c r="H25" s="4"/>
      <c r="I25" s="4"/>
      <c r="J25" s="4"/>
      <c r="K25" s="4"/>
      <c r="L25" s="4"/>
      <c r="M25" s="4"/>
      <c r="N25" s="4"/>
      <c r="O25" s="4"/>
      <c r="P25" s="4"/>
      <c r="Q25" s="4"/>
      <c r="R25" s="4"/>
      <c r="S25" s="4"/>
      <c r="T25" s="4"/>
      <c r="U25" s="4"/>
      <c r="V25" s="4"/>
      <c r="W25" s="4"/>
      <c r="X25" s="4"/>
      <c r="Y25" s="4"/>
      <c r="Z25" s="4"/>
    </row>
    <row r="26" spans="1:26" ht="13.2">
      <c r="A26" s="11">
        <v>9</v>
      </c>
      <c r="B26" s="7" t="s">
        <v>329</v>
      </c>
      <c r="C26" s="11">
        <v>3900</v>
      </c>
      <c r="D26" s="11">
        <v>1</v>
      </c>
      <c r="E26" s="11">
        <f t="shared" si="0"/>
        <v>3900</v>
      </c>
      <c r="F26" s="62" t="s">
        <v>69</v>
      </c>
      <c r="G26" s="4"/>
      <c r="H26" s="4"/>
      <c r="I26" s="4"/>
      <c r="J26" s="4"/>
      <c r="K26" s="4"/>
      <c r="L26" s="4"/>
      <c r="M26" s="4"/>
      <c r="N26" s="4"/>
      <c r="O26" s="4"/>
      <c r="P26" s="4"/>
      <c r="Q26" s="4"/>
      <c r="R26" s="4"/>
      <c r="S26" s="4"/>
      <c r="T26" s="4"/>
      <c r="U26" s="4"/>
      <c r="V26" s="4"/>
      <c r="W26" s="4"/>
      <c r="X26" s="4"/>
      <c r="Y26" s="4"/>
      <c r="Z26" s="4"/>
    </row>
    <row r="27" spans="1:26" ht="13.2">
      <c r="A27" s="11">
        <v>10</v>
      </c>
      <c r="B27" s="7" t="s">
        <v>337</v>
      </c>
      <c r="C27" s="11">
        <v>1220</v>
      </c>
      <c r="D27" s="11">
        <v>2</v>
      </c>
      <c r="E27" s="11">
        <f t="shared" si="0"/>
        <v>2440</v>
      </c>
      <c r="F27" s="62" t="s">
        <v>69</v>
      </c>
      <c r="G27" s="4"/>
      <c r="H27" s="4"/>
      <c r="I27" s="4"/>
      <c r="J27" s="4"/>
      <c r="K27" s="4"/>
      <c r="L27" s="4"/>
      <c r="M27" s="4"/>
      <c r="N27" s="4"/>
      <c r="O27" s="4"/>
      <c r="P27" s="4"/>
      <c r="Q27" s="4"/>
      <c r="R27" s="4"/>
      <c r="S27" s="4"/>
      <c r="T27" s="4"/>
      <c r="U27" s="4"/>
      <c r="V27" s="4"/>
      <c r="W27" s="4"/>
      <c r="X27" s="4"/>
      <c r="Y27" s="4"/>
      <c r="Z27" s="4"/>
    </row>
    <row r="28" spans="1:26" ht="13.2">
      <c r="A28" s="11">
        <v>11</v>
      </c>
      <c r="B28" s="7" t="s">
        <v>349</v>
      </c>
      <c r="C28" s="16">
        <v>800</v>
      </c>
      <c r="D28" s="11">
        <v>3</v>
      </c>
      <c r="E28" s="11">
        <f t="shared" si="0"/>
        <v>2400</v>
      </c>
      <c r="F28" s="62" t="s">
        <v>69</v>
      </c>
      <c r="G28" s="4"/>
      <c r="H28" s="4"/>
      <c r="I28" s="4"/>
      <c r="J28" s="4"/>
      <c r="K28" s="4"/>
      <c r="L28" s="4"/>
      <c r="M28" s="4"/>
      <c r="N28" s="4"/>
      <c r="O28" s="4"/>
      <c r="P28" s="4"/>
      <c r="Q28" s="4"/>
      <c r="R28" s="4"/>
      <c r="S28" s="4"/>
      <c r="T28" s="4"/>
      <c r="U28" s="4"/>
      <c r="V28" s="4"/>
      <c r="W28" s="4"/>
      <c r="X28" s="4"/>
      <c r="Y28" s="4"/>
      <c r="Z28" s="4"/>
    </row>
    <row r="29" spans="1:26" ht="13.2">
      <c r="A29" s="11">
        <v>12</v>
      </c>
      <c r="B29" s="7" t="s">
        <v>355</v>
      </c>
      <c r="C29" s="16">
        <v>800</v>
      </c>
      <c r="D29" s="11">
        <v>1</v>
      </c>
      <c r="E29" s="11">
        <f t="shared" si="0"/>
        <v>800</v>
      </c>
      <c r="F29" s="62" t="s">
        <v>69</v>
      </c>
      <c r="G29" s="4"/>
      <c r="H29" s="4"/>
      <c r="I29" s="4"/>
      <c r="J29" s="4"/>
      <c r="K29" s="4"/>
      <c r="L29" s="4"/>
      <c r="M29" s="4"/>
      <c r="N29" s="4"/>
      <c r="O29" s="4"/>
      <c r="P29" s="4"/>
      <c r="Q29" s="4"/>
      <c r="R29" s="4"/>
      <c r="S29" s="4"/>
      <c r="T29" s="4"/>
      <c r="U29" s="4"/>
      <c r="V29" s="4"/>
      <c r="W29" s="4"/>
      <c r="X29" s="4"/>
      <c r="Y29" s="4"/>
      <c r="Z29" s="4"/>
    </row>
    <row r="30" spans="1:26" ht="13.2">
      <c r="A30" s="6"/>
      <c r="B30" s="6"/>
      <c r="C30" s="6"/>
      <c r="D30" s="3" t="s">
        <v>5</v>
      </c>
      <c r="E30" s="47">
        <f>SUM(E18:E29)</f>
        <v>38550</v>
      </c>
      <c r="F30" s="6"/>
      <c r="G30" s="4"/>
      <c r="H30" s="4"/>
      <c r="I30" s="4"/>
      <c r="J30" s="4"/>
      <c r="K30" s="4"/>
      <c r="L30" s="4"/>
      <c r="M30" s="4"/>
      <c r="N30" s="4"/>
      <c r="O30" s="4"/>
      <c r="P30" s="4"/>
      <c r="Q30" s="4"/>
      <c r="R30" s="4"/>
      <c r="S30" s="4"/>
      <c r="T30" s="4"/>
      <c r="U30" s="4"/>
      <c r="V30" s="4"/>
      <c r="W30" s="4"/>
      <c r="X30" s="4"/>
      <c r="Y30" s="4"/>
      <c r="Z30" s="4"/>
    </row>
    <row r="31" spans="1:26" ht="13.2">
      <c r="A31" s="6"/>
      <c r="B31" s="6"/>
      <c r="C31" s="6"/>
      <c r="D31" s="6"/>
      <c r="E31" s="6"/>
      <c r="F31" s="6"/>
      <c r="G31" s="4"/>
      <c r="H31" s="4"/>
      <c r="I31" s="4"/>
      <c r="J31" s="4"/>
      <c r="K31" s="4"/>
      <c r="L31" s="4"/>
      <c r="M31" s="4"/>
      <c r="N31" s="4"/>
      <c r="O31" s="4"/>
      <c r="P31" s="4"/>
      <c r="Q31" s="4"/>
      <c r="R31" s="4"/>
      <c r="S31" s="4"/>
      <c r="T31" s="4"/>
      <c r="U31" s="4"/>
      <c r="V31" s="4"/>
      <c r="W31" s="4"/>
      <c r="X31" s="4"/>
      <c r="Y31" s="4"/>
      <c r="Z31" s="4"/>
    </row>
    <row r="32" spans="1:26" ht="13.2">
      <c r="A32" s="231" t="s">
        <v>103</v>
      </c>
      <c r="B32" s="226"/>
      <c r="C32" s="226"/>
      <c r="D32" s="226"/>
      <c r="E32" s="226"/>
      <c r="F32" s="227"/>
      <c r="G32" s="4"/>
      <c r="H32" s="4"/>
      <c r="I32" s="4"/>
      <c r="J32" s="4"/>
      <c r="K32" s="4"/>
      <c r="L32" s="4"/>
      <c r="M32" s="4"/>
      <c r="N32" s="4"/>
      <c r="O32" s="4"/>
      <c r="P32" s="4"/>
      <c r="Q32" s="4"/>
      <c r="R32" s="4"/>
      <c r="S32" s="4"/>
      <c r="T32" s="4"/>
      <c r="U32" s="4"/>
      <c r="V32" s="4"/>
      <c r="W32" s="4"/>
      <c r="X32" s="4"/>
      <c r="Y32" s="4"/>
      <c r="Z32" s="4"/>
    </row>
    <row r="33" spans="1:26" ht="13.2">
      <c r="A33" s="3" t="s">
        <v>44</v>
      </c>
      <c r="B33" s="3" t="s">
        <v>46</v>
      </c>
      <c r="C33" s="3" t="s">
        <v>47</v>
      </c>
      <c r="D33" s="3" t="s">
        <v>48</v>
      </c>
      <c r="E33" s="3" t="s">
        <v>9</v>
      </c>
      <c r="F33" s="3" t="s">
        <v>52</v>
      </c>
      <c r="G33" s="4"/>
      <c r="H33" s="4"/>
      <c r="I33" s="4"/>
      <c r="J33" s="4"/>
      <c r="K33" s="4"/>
      <c r="L33" s="4"/>
      <c r="M33" s="4"/>
      <c r="N33" s="4"/>
      <c r="O33" s="4"/>
      <c r="P33" s="4"/>
      <c r="Q33" s="4"/>
      <c r="R33" s="4"/>
      <c r="S33" s="4"/>
      <c r="T33" s="4"/>
      <c r="U33" s="4"/>
      <c r="V33" s="4"/>
      <c r="W33" s="4"/>
      <c r="X33" s="4"/>
      <c r="Y33" s="4"/>
      <c r="Z33" s="4"/>
    </row>
    <row r="34" spans="1:26" ht="13.2">
      <c r="A34" s="11">
        <v>5</v>
      </c>
      <c r="B34" s="7" t="s">
        <v>363</v>
      </c>
      <c r="C34" s="11">
        <v>9000</v>
      </c>
      <c r="D34" s="11">
        <v>1</v>
      </c>
      <c r="E34" s="11">
        <f t="shared" ref="E34:E36" si="1">C34*D34</f>
        <v>9000</v>
      </c>
      <c r="F34" s="62" t="s">
        <v>69</v>
      </c>
      <c r="G34" s="4"/>
      <c r="H34" s="4"/>
      <c r="I34" s="4"/>
      <c r="J34" s="4"/>
      <c r="K34" s="4"/>
      <c r="L34" s="4"/>
      <c r="M34" s="4"/>
      <c r="N34" s="4"/>
      <c r="O34" s="4"/>
      <c r="P34" s="4"/>
      <c r="Q34" s="4"/>
      <c r="R34" s="4"/>
      <c r="S34" s="4"/>
      <c r="T34" s="4"/>
      <c r="U34" s="4"/>
      <c r="V34" s="4"/>
      <c r="W34" s="4"/>
      <c r="X34" s="4"/>
      <c r="Y34" s="4"/>
      <c r="Z34" s="4"/>
    </row>
    <row r="35" spans="1:26" ht="13.2">
      <c r="A35" s="11">
        <v>6</v>
      </c>
      <c r="B35" s="7" t="s">
        <v>367</v>
      </c>
      <c r="C35" s="11">
        <v>6500</v>
      </c>
      <c r="D35" s="11">
        <v>1</v>
      </c>
      <c r="E35" s="11">
        <f t="shared" si="1"/>
        <v>6500</v>
      </c>
      <c r="F35" s="62" t="s">
        <v>69</v>
      </c>
      <c r="G35" s="4"/>
      <c r="H35" s="4"/>
      <c r="I35" s="4"/>
      <c r="J35" s="4"/>
      <c r="K35" s="4"/>
      <c r="L35" s="4"/>
      <c r="M35" s="4"/>
      <c r="N35" s="4"/>
      <c r="O35" s="4"/>
      <c r="P35" s="4"/>
      <c r="Q35" s="4"/>
      <c r="R35" s="4"/>
      <c r="S35" s="4"/>
      <c r="T35" s="4"/>
      <c r="U35" s="4"/>
      <c r="V35" s="4"/>
      <c r="W35" s="4"/>
      <c r="X35" s="4"/>
      <c r="Y35" s="4"/>
      <c r="Z35" s="4"/>
    </row>
    <row r="36" spans="1:26" ht="13.2">
      <c r="A36" s="11">
        <v>7</v>
      </c>
      <c r="B36" s="7" t="s">
        <v>370</v>
      </c>
      <c r="C36" s="11">
        <v>6500</v>
      </c>
      <c r="D36" s="11">
        <v>1</v>
      </c>
      <c r="E36" s="11">
        <f t="shared" si="1"/>
        <v>6500</v>
      </c>
      <c r="F36" s="62" t="s">
        <v>69</v>
      </c>
      <c r="G36" s="4"/>
      <c r="H36" s="4"/>
      <c r="I36" s="4"/>
      <c r="J36" s="4"/>
      <c r="K36" s="4"/>
      <c r="L36" s="4"/>
      <c r="M36" s="4"/>
      <c r="N36" s="4"/>
      <c r="O36" s="4"/>
      <c r="P36" s="4"/>
      <c r="Q36" s="4"/>
      <c r="R36" s="4"/>
      <c r="S36" s="4"/>
      <c r="T36" s="4"/>
      <c r="U36" s="4"/>
      <c r="V36" s="4"/>
      <c r="W36" s="4"/>
      <c r="X36" s="4"/>
      <c r="Y36" s="4"/>
      <c r="Z36" s="4"/>
    </row>
    <row r="37" spans="1:26" ht="13.2">
      <c r="A37" s="6"/>
      <c r="B37" s="6"/>
      <c r="C37" s="6"/>
      <c r="D37" s="3" t="s">
        <v>5</v>
      </c>
      <c r="E37" s="47">
        <f>SUM(E34:E36)</f>
        <v>22000</v>
      </c>
      <c r="F37" s="6"/>
      <c r="G37" s="4"/>
      <c r="H37" s="4"/>
      <c r="I37" s="4"/>
      <c r="J37" s="4"/>
      <c r="K37" s="4"/>
      <c r="L37" s="4"/>
      <c r="M37" s="4"/>
      <c r="N37" s="4"/>
      <c r="O37" s="4"/>
      <c r="P37" s="4"/>
      <c r="Q37" s="4"/>
      <c r="R37" s="4"/>
      <c r="S37" s="4"/>
      <c r="T37" s="4"/>
      <c r="U37" s="4"/>
      <c r="V37" s="4"/>
      <c r="W37" s="4"/>
      <c r="X37" s="4"/>
      <c r="Y37" s="4"/>
      <c r="Z37" s="4"/>
    </row>
    <row r="38" spans="1:26" ht="13.2">
      <c r="A38" s="6"/>
      <c r="B38" s="6"/>
      <c r="C38" s="6"/>
      <c r="D38" s="6"/>
      <c r="E38" s="6"/>
      <c r="F38" s="6"/>
      <c r="G38" s="4"/>
      <c r="H38" s="4"/>
      <c r="I38" s="4"/>
      <c r="J38" s="4"/>
      <c r="K38" s="4"/>
      <c r="L38" s="4"/>
      <c r="M38" s="4"/>
      <c r="N38" s="4"/>
      <c r="O38" s="4"/>
      <c r="P38" s="4"/>
      <c r="Q38" s="4"/>
      <c r="R38" s="4"/>
      <c r="S38" s="4"/>
      <c r="T38" s="4"/>
      <c r="U38" s="4"/>
      <c r="V38" s="4"/>
      <c r="W38" s="4"/>
      <c r="X38" s="4"/>
      <c r="Y38" s="4"/>
      <c r="Z38" s="4"/>
    </row>
    <row r="39" spans="1:26" ht="33" customHeight="1">
      <c r="A39" s="231" t="s">
        <v>110</v>
      </c>
      <c r="B39" s="226"/>
      <c r="C39" s="226"/>
      <c r="D39" s="226"/>
      <c r="E39" s="226"/>
      <c r="F39" s="227"/>
      <c r="G39" s="4"/>
      <c r="H39" s="4"/>
      <c r="I39" s="4"/>
      <c r="J39" s="4"/>
      <c r="K39" s="4"/>
      <c r="L39" s="4"/>
      <c r="M39" s="4"/>
      <c r="N39" s="4"/>
      <c r="O39" s="4"/>
      <c r="P39" s="4"/>
      <c r="Q39" s="4"/>
      <c r="R39" s="4"/>
      <c r="S39" s="4"/>
      <c r="T39" s="4"/>
      <c r="U39" s="4"/>
      <c r="V39" s="4"/>
      <c r="W39" s="4"/>
      <c r="X39" s="4"/>
      <c r="Y39" s="4"/>
      <c r="Z39" s="4"/>
    </row>
    <row r="40" spans="1:26" ht="13.2">
      <c r="A40" s="13"/>
      <c r="B40" s="6"/>
      <c r="C40" s="6"/>
      <c r="D40" s="6"/>
      <c r="E40" s="6"/>
      <c r="F40" s="6"/>
      <c r="G40" s="4"/>
      <c r="H40" s="4"/>
      <c r="I40" s="4"/>
      <c r="J40" s="4"/>
      <c r="K40" s="4"/>
      <c r="L40" s="4"/>
      <c r="M40" s="4"/>
      <c r="N40" s="4"/>
      <c r="O40" s="4"/>
      <c r="P40" s="4"/>
      <c r="Q40" s="4"/>
      <c r="R40" s="4"/>
      <c r="S40" s="4"/>
      <c r="T40" s="4"/>
      <c r="U40" s="4"/>
      <c r="V40" s="4"/>
      <c r="W40" s="4"/>
      <c r="X40" s="4"/>
      <c r="Y40" s="4"/>
      <c r="Z40" s="4"/>
    </row>
    <row r="41" spans="1:26" ht="13.2">
      <c r="A41" s="235" t="s">
        <v>372</v>
      </c>
      <c r="B41" s="227"/>
      <c r="C41" s="6"/>
      <c r="D41" s="6"/>
      <c r="E41" s="6"/>
      <c r="F41" s="6"/>
      <c r="G41" s="4"/>
      <c r="H41" s="4"/>
      <c r="I41" s="4"/>
      <c r="J41" s="4"/>
      <c r="K41" s="4"/>
      <c r="L41" s="4"/>
      <c r="M41" s="4"/>
      <c r="N41" s="4"/>
      <c r="O41" s="4"/>
      <c r="P41" s="4"/>
      <c r="Q41" s="4"/>
      <c r="R41" s="4"/>
      <c r="S41" s="4"/>
      <c r="T41" s="4"/>
      <c r="U41" s="4"/>
      <c r="V41" s="4"/>
      <c r="W41" s="4"/>
      <c r="X41" s="4"/>
      <c r="Y41" s="4"/>
      <c r="Z41" s="4"/>
    </row>
    <row r="42" spans="1:26" ht="13.2">
      <c r="A42" s="7" t="s">
        <v>374</v>
      </c>
      <c r="B42" s="7"/>
      <c r="C42" s="6"/>
      <c r="D42" s="6"/>
      <c r="E42" s="6"/>
      <c r="F42" s="6"/>
      <c r="G42" s="4"/>
      <c r="H42" s="4"/>
      <c r="I42" s="4"/>
      <c r="J42" s="4"/>
      <c r="K42" s="4"/>
      <c r="L42" s="4"/>
      <c r="M42" s="4"/>
      <c r="N42" s="4"/>
      <c r="O42" s="4"/>
      <c r="P42" s="4"/>
      <c r="Q42" s="4"/>
      <c r="R42" s="4"/>
      <c r="S42" s="4"/>
      <c r="T42" s="4"/>
      <c r="U42" s="4"/>
      <c r="V42" s="4"/>
      <c r="W42" s="4"/>
      <c r="X42" s="4"/>
      <c r="Y42" s="4"/>
      <c r="Z42" s="4"/>
    </row>
    <row r="43" spans="1:26" ht="13.2">
      <c r="A43" s="7" t="s">
        <v>375</v>
      </c>
      <c r="B43" s="7"/>
      <c r="C43" s="6"/>
      <c r="D43" s="6"/>
      <c r="E43" s="6"/>
      <c r="F43" s="6"/>
      <c r="G43" s="4"/>
      <c r="H43" s="4"/>
      <c r="I43" s="4"/>
      <c r="J43" s="4"/>
      <c r="K43" s="4"/>
      <c r="L43" s="4"/>
      <c r="M43" s="4"/>
      <c r="N43" s="4"/>
      <c r="O43" s="4"/>
      <c r="P43" s="4"/>
      <c r="Q43" s="4"/>
      <c r="R43" s="4"/>
      <c r="S43" s="4"/>
      <c r="T43" s="4"/>
      <c r="U43" s="4"/>
      <c r="V43" s="4"/>
      <c r="W43" s="4"/>
      <c r="X43" s="4"/>
      <c r="Y43" s="4"/>
      <c r="Z43" s="4"/>
    </row>
    <row r="44" spans="1:26" ht="13.2">
      <c r="A44" s="6"/>
      <c r="B44" s="6"/>
      <c r="C44" s="6"/>
      <c r="D44" s="6"/>
      <c r="E44" s="6"/>
      <c r="F44" s="6"/>
      <c r="G44" s="4"/>
      <c r="H44" s="4"/>
      <c r="I44" s="4"/>
      <c r="J44" s="4"/>
      <c r="K44" s="4"/>
      <c r="L44" s="4"/>
      <c r="M44" s="4"/>
      <c r="N44" s="4"/>
      <c r="O44" s="4"/>
      <c r="P44" s="4"/>
      <c r="Q44" s="4"/>
      <c r="R44" s="4"/>
      <c r="S44" s="4"/>
      <c r="T44" s="4"/>
      <c r="U44" s="4"/>
      <c r="V44" s="4"/>
      <c r="W44" s="4"/>
      <c r="X44" s="4"/>
      <c r="Y44" s="4"/>
      <c r="Z44" s="4"/>
    </row>
    <row r="45" spans="1:26" ht="13.2">
      <c r="A45" s="235" t="s">
        <v>377</v>
      </c>
      <c r="B45" s="227"/>
      <c r="C45" s="6"/>
      <c r="D45" s="6"/>
      <c r="E45" s="6"/>
      <c r="F45" s="6"/>
      <c r="G45" s="4"/>
      <c r="H45" s="4"/>
      <c r="I45" s="4"/>
      <c r="J45" s="4"/>
      <c r="K45" s="4"/>
      <c r="L45" s="4"/>
      <c r="M45" s="4"/>
      <c r="N45" s="4"/>
      <c r="O45" s="4"/>
      <c r="P45" s="4"/>
      <c r="Q45" s="4"/>
      <c r="R45" s="4"/>
      <c r="S45" s="4"/>
      <c r="T45" s="4"/>
      <c r="U45" s="4"/>
      <c r="V45" s="4"/>
      <c r="W45" s="4"/>
      <c r="X45" s="4"/>
      <c r="Y45" s="4"/>
      <c r="Z45" s="4"/>
    </row>
    <row r="46" spans="1:26" ht="13.2">
      <c r="A46" s="7" t="s">
        <v>177</v>
      </c>
      <c r="B46" s="7"/>
      <c r="C46" s="6"/>
      <c r="D46" s="6"/>
      <c r="E46" s="6"/>
      <c r="F46" s="6"/>
      <c r="G46" s="4"/>
      <c r="H46" s="4"/>
      <c r="I46" s="4"/>
      <c r="J46" s="4"/>
      <c r="K46" s="4"/>
      <c r="L46" s="4"/>
      <c r="M46" s="4"/>
      <c r="N46" s="4"/>
      <c r="O46" s="4"/>
      <c r="P46" s="4"/>
      <c r="Q46" s="4"/>
      <c r="R46" s="4"/>
      <c r="S46" s="4"/>
      <c r="T46" s="4"/>
      <c r="U46" s="4"/>
      <c r="V46" s="4"/>
      <c r="W46" s="4"/>
      <c r="X46" s="4"/>
      <c r="Y46" s="4"/>
      <c r="Z46" s="4"/>
    </row>
    <row r="47" spans="1:26" ht="13.2">
      <c r="A47" s="235" t="s">
        <v>378</v>
      </c>
      <c r="B47" s="227"/>
      <c r="C47" s="6"/>
      <c r="D47" s="6"/>
      <c r="E47" s="6"/>
      <c r="F47" s="6"/>
      <c r="G47" s="4"/>
      <c r="H47" s="4"/>
      <c r="I47" s="4"/>
      <c r="J47" s="4"/>
      <c r="K47" s="4"/>
      <c r="L47" s="4"/>
      <c r="M47" s="4"/>
      <c r="N47" s="4"/>
      <c r="O47" s="4"/>
      <c r="P47" s="4"/>
      <c r="Q47" s="4"/>
      <c r="R47" s="4"/>
      <c r="S47" s="4"/>
      <c r="T47" s="4"/>
      <c r="U47" s="4"/>
      <c r="V47" s="4"/>
      <c r="W47" s="4"/>
      <c r="X47" s="4"/>
      <c r="Y47" s="4"/>
      <c r="Z47" s="4"/>
    </row>
    <row r="48" spans="1:26" ht="13.2">
      <c r="A48" s="7" t="s">
        <v>44</v>
      </c>
      <c r="B48" s="7" t="s">
        <v>46</v>
      </c>
      <c r="C48" s="7" t="s">
        <v>47</v>
      </c>
      <c r="D48" s="7" t="s">
        <v>48</v>
      </c>
      <c r="E48" s="7" t="s">
        <v>9</v>
      </c>
      <c r="F48" s="7" t="s">
        <v>52</v>
      </c>
      <c r="G48" s="4"/>
      <c r="H48" s="4"/>
      <c r="I48" s="4"/>
      <c r="J48" s="4"/>
      <c r="K48" s="4"/>
      <c r="L48" s="4"/>
      <c r="M48" s="4"/>
      <c r="N48" s="4"/>
      <c r="O48" s="4"/>
      <c r="P48" s="4"/>
      <c r="Q48" s="4"/>
      <c r="R48" s="4"/>
      <c r="S48" s="4"/>
      <c r="T48" s="4"/>
      <c r="U48" s="4"/>
      <c r="V48" s="4"/>
      <c r="W48" s="4"/>
      <c r="X48" s="4"/>
      <c r="Y48" s="4"/>
      <c r="Z48" s="4"/>
    </row>
    <row r="49" spans="1:26" ht="13.2">
      <c r="A49" s="11">
        <v>1</v>
      </c>
      <c r="B49" s="7" t="s">
        <v>379</v>
      </c>
      <c r="C49" s="7" t="s">
        <v>381</v>
      </c>
      <c r="D49" s="7" t="s">
        <v>381</v>
      </c>
      <c r="E49" s="11">
        <v>15000</v>
      </c>
      <c r="F49" s="7" t="s">
        <v>139</v>
      </c>
      <c r="G49" s="4"/>
      <c r="H49" s="4"/>
      <c r="I49" s="4"/>
      <c r="J49" s="4"/>
      <c r="K49" s="4"/>
      <c r="L49" s="4"/>
      <c r="M49" s="4"/>
      <c r="N49" s="4"/>
      <c r="O49" s="4"/>
      <c r="P49" s="4"/>
      <c r="Q49" s="4"/>
      <c r="R49" s="4"/>
      <c r="S49" s="4"/>
      <c r="T49" s="4"/>
      <c r="U49" s="4"/>
      <c r="V49" s="4"/>
      <c r="W49" s="4"/>
      <c r="X49" s="4"/>
      <c r="Y49" s="4"/>
      <c r="Z49" s="4"/>
    </row>
    <row r="50" spans="1:26" ht="13.2">
      <c r="A50" s="6"/>
      <c r="B50" s="6"/>
      <c r="C50" s="6"/>
      <c r="D50" s="3" t="s">
        <v>5</v>
      </c>
      <c r="E50" s="47">
        <f>SUM(E49)</f>
        <v>15000</v>
      </c>
      <c r="F50" s="6"/>
      <c r="G50" s="4"/>
      <c r="H50" s="4"/>
      <c r="I50" s="4"/>
      <c r="J50" s="4"/>
      <c r="K50" s="4"/>
      <c r="L50" s="4"/>
      <c r="M50" s="4"/>
      <c r="N50" s="4"/>
      <c r="O50" s="4"/>
      <c r="P50" s="4"/>
      <c r="Q50" s="4"/>
      <c r="R50" s="4"/>
      <c r="S50" s="4"/>
      <c r="T50" s="4"/>
      <c r="U50" s="4"/>
      <c r="V50" s="4"/>
      <c r="W50" s="4"/>
      <c r="X50" s="4"/>
      <c r="Y50" s="4"/>
      <c r="Z50" s="4"/>
    </row>
    <row r="51" spans="1:26" ht="13.2">
      <c r="A51" s="6"/>
      <c r="B51" s="6"/>
      <c r="C51" s="6"/>
      <c r="D51" s="6"/>
      <c r="E51" s="6"/>
      <c r="F51" s="6"/>
      <c r="G51" s="4"/>
      <c r="H51" s="4"/>
      <c r="I51" s="4"/>
      <c r="J51" s="4"/>
      <c r="K51" s="4"/>
      <c r="L51" s="4"/>
      <c r="M51" s="4"/>
      <c r="N51" s="4"/>
      <c r="O51" s="4"/>
      <c r="P51" s="4"/>
      <c r="Q51" s="4"/>
      <c r="R51" s="4"/>
      <c r="S51" s="4"/>
      <c r="T51" s="4"/>
      <c r="U51" s="4"/>
      <c r="V51" s="4"/>
      <c r="W51" s="4"/>
      <c r="X51" s="4"/>
      <c r="Y51" s="4"/>
      <c r="Z51" s="4"/>
    </row>
    <row r="52" spans="1:26" ht="13.2">
      <c r="A52" s="13"/>
      <c r="B52" s="6"/>
      <c r="C52" s="6"/>
      <c r="D52" s="6"/>
      <c r="E52" s="6"/>
      <c r="F52" s="6"/>
      <c r="G52" s="4"/>
      <c r="H52" s="4"/>
      <c r="I52" s="4"/>
      <c r="J52" s="4"/>
      <c r="K52" s="4"/>
      <c r="L52" s="4"/>
      <c r="M52" s="4"/>
      <c r="N52" s="4"/>
      <c r="O52" s="4"/>
      <c r="P52" s="4"/>
      <c r="Q52" s="4"/>
      <c r="R52" s="4"/>
      <c r="S52" s="4"/>
      <c r="T52" s="4"/>
      <c r="U52" s="4"/>
      <c r="V52" s="4"/>
      <c r="W52" s="4"/>
      <c r="X52" s="4"/>
      <c r="Y52" s="4"/>
      <c r="Z52" s="4"/>
    </row>
    <row r="53" spans="1:26" ht="13.2">
      <c r="A53" s="6"/>
      <c r="B53" s="6"/>
      <c r="C53" s="6"/>
      <c r="D53" s="6"/>
      <c r="E53" s="6"/>
      <c r="F53" s="6"/>
      <c r="G53" s="4"/>
      <c r="H53" s="4"/>
      <c r="I53" s="4"/>
      <c r="J53" s="4"/>
      <c r="K53" s="4"/>
      <c r="L53" s="4"/>
      <c r="M53" s="4"/>
      <c r="N53" s="4"/>
      <c r="O53" s="4"/>
      <c r="P53" s="4"/>
      <c r="Q53" s="4"/>
      <c r="R53" s="4"/>
      <c r="S53" s="4"/>
      <c r="T53" s="4"/>
      <c r="U53" s="4"/>
      <c r="V53" s="4"/>
      <c r="W53" s="4"/>
      <c r="X53" s="4"/>
      <c r="Y53" s="4"/>
      <c r="Z53" s="4"/>
    </row>
    <row r="54" spans="1:26" ht="13.2">
      <c r="A54" s="73"/>
      <c r="B54" s="6"/>
      <c r="C54" s="6"/>
      <c r="D54" s="6"/>
      <c r="E54" s="73"/>
      <c r="F54" s="4"/>
      <c r="G54" s="4"/>
      <c r="H54" s="4"/>
      <c r="I54" s="4"/>
      <c r="J54" s="4"/>
      <c r="K54" s="4"/>
      <c r="L54" s="4"/>
      <c r="M54" s="4"/>
      <c r="N54" s="4"/>
      <c r="O54" s="4"/>
      <c r="P54" s="4"/>
      <c r="Q54" s="4"/>
      <c r="R54" s="4"/>
      <c r="S54" s="4"/>
      <c r="T54" s="4"/>
      <c r="U54" s="4"/>
      <c r="V54" s="4"/>
      <c r="W54" s="4"/>
      <c r="X54" s="4"/>
      <c r="Y54" s="4"/>
      <c r="Z54" s="4"/>
    </row>
    <row r="55" spans="1:26" ht="13.2">
      <c r="A55" s="6"/>
      <c r="B55" s="6"/>
      <c r="C55" s="6"/>
      <c r="D55" s="13"/>
      <c r="E55" s="74"/>
      <c r="F55" s="6"/>
      <c r="G55" s="4"/>
      <c r="H55" s="4"/>
      <c r="I55" s="4"/>
      <c r="J55" s="4"/>
      <c r="K55" s="4"/>
      <c r="L55" s="4"/>
      <c r="M55" s="4"/>
      <c r="N55" s="4"/>
      <c r="O55" s="4"/>
      <c r="P55" s="4"/>
      <c r="Q55" s="4"/>
      <c r="R55" s="4"/>
      <c r="S55" s="4"/>
      <c r="T55" s="4"/>
      <c r="U55" s="4"/>
      <c r="V55" s="4"/>
      <c r="W55" s="4"/>
      <c r="X55" s="4"/>
      <c r="Y55" s="4"/>
      <c r="Z55" s="4"/>
    </row>
    <row r="56" spans="1:26" ht="14.4">
      <c r="A56" s="73"/>
      <c r="B56" s="75"/>
      <c r="C56" s="73"/>
      <c r="D56" s="73"/>
      <c r="E56" s="73"/>
      <c r="F56" s="76"/>
      <c r="G56" s="4"/>
      <c r="H56" s="4"/>
      <c r="I56" s="4"/>
      <c r="J56" s="4"/>
      <c r="K56" s="4"/>
      <c r="L56" s="4"/>
      <c r="M56" s="4"/>
      <c r="N56" s="4"/>
      <c r="O56" s="4"/>
      <c r="P56" s="4"/>
      <c r="Q56" s="4"/>
      <c r="R56" s="4"/>
      <c r="S56" s="4"/>
      <c r="T56" s="4"/>
      <c r="U56" s="4"/>
      <c r="V56" s="4"/>
      <c r="W56" s="4"/>
      <c r="X56" s="4"/>
      <c r="Y56" s="4"/>
      <c r="Z56" s="4"/>
    </row>
    <row r="57" spans="1:26" ht="13.2">
      <c r="A57" s="73"/>
      <c r="B57" s="6"/>
      <c r="C57" s="73"/>
      <c r="D57" s="73"/>
      <c r="E57" s="73"/>
      <c r="F57" s="76"/>
      <c r="G57" s="4"/>
      <c r="H57" s="4"/>
      <c r="I57" s="4"/>
      <c r="J57" s="4"/>
      <c r="K57" s="4"/>
      <c r="L57" s="4"/>
      <c r="M57" s="4"/>
      <c r="N57" s="4"/>
      <c r="O57" s="4"/>
      <c r="P57" s="4"/>
      <c r="Q57" s="4"/>
      <c r="R57" s="4"/>
      <c r="S57" s="4"/>
      <c r="T57" s="4"/>
      <c r="U57" s="4"/>
      <c r="V57" s="4"/>
      <c r="W57" s="4"/>
      <c r="X57" s="4"/>
      <c r="Y57" s="4"/>
      <c r="Z57" s="4"/>
    </row>
    <row r="58" spans="1:26" ht="14.4">
      <c r="A58" s="73"/>
      <c r="B58" s="75"/>
      <c r="C58" s="73"/>
      <c r="D58" s="73"/>
      <c r="E58" s="73"/>
      <c r="F58" s="6"/>
      <c r="G58" s="4"/>
      <c r="H58" s="4"/>
      <c r="I58" s="4"/>
      <c r="J58" s="4"/>
      <c r="K58" s="4"/>
      <c r="L58" s="4"/>
      <c r="M58" s="4"/>
      <c r="N58" s="4"/>
      <c r="O58" s="4"/>
      <c r="P58" s="4"/>
      <c r="Q58" s="4"/>
      <c r="R58" s="4"/>
      <c r="S58" s="4"/>
      <c r="T58" s="4"/>
      <c r="U58" s="4"/>
      <c r="V58" s="4"/>
      <c r="W58" s="4"/>
      <c r="X58" s="4"/>
      <c r="Y58" s="4"/>
      <c r="Z58" s="4"/>
    </row>
    <row r="59" spans="1:26" ht="13.2">
      <c r="A59" s="73"/>
      <c r="B59" s="6"/>
      <c r="C59" s="73"/>
      <c r="D59" s="73"/>
      <c r="E59" s="73"/>
      <c r="F59" s="76"/>
      <c r="G59" s="4"/>
      <c r="H59" s="4"/>
      <c r="I59" s="4"/>
      <c r="J59" s="4"/>
      <c r="K59" s="4"/>
      <c r="L59" s="4"/>
      <c r="M59" s="4"/>
      <c r="N59" s="4"/>
      <c r="O59" s="4"/>
      <c r="P59" s="4"/>
      <c r="Q59" s="4"/>
      <c r="R59" s="4"/>
      <c r="S59" s="4"/>
      <c r="T59" s="4"/>
      <c r="U59" s="4"/>
      <c r="V59" s="4"/>
      <c r="W59" s="4"/>
      <c r="X59" s="4"/>
      <c r="Y59" s="4"/>
      <c r="Z59" s="4"/>
    </row>
    <row r="60" spans="1:26" ht="13.2">
      <c r="A60" s="73"/>
      <c r="B60" s="6"/>
      <c r="C60" s="73"/>
      <c r="D60" s="73"/>
      <c r="E60" s="73"/>
      <c r="F60" s="76"/>
      <c r="G60" s="4"/>
      <c r="H60" s="4"/>
      <c r="I60" s="4"/>
      <c r="J60" s="4"/>
      <c r="K60" s="4"/>
      <c r="L60" s="4"/>
      <c r="M60" s="4"/>
      <c r="N60" s="4"/>
      <c r="O60" s="4"/>
      <c r="P60" s="4"/>
      <c r="Q60" s="4"/>
      <c r="R60" s="4"/>
      <c r="S60" s="4"/>
      <c r="T60" s="4"/>
      <c r="U60" s="4"/>
      <c r="V60" s="4"/>
      <c r="W60" s="4"/>
      <c r="X60" s="4"/>
      <c r="Y60" s="4"/>
      <c r="Z60" s="4"/>
    </row>
    <row r="61" spans="1:26" ht="13.2">
      <c r="A61" s="73"/>
      <c r="B61" s="6"/>
      <c r="C61" s="73"/>
      <c r="D61" s="73"/>
      <c r="E61" s="73"/>
      <c r="F61" s="76"/>
      <c r="G61" s="4"/>
      <c r="H61" s="4"/>
      <c r="I61" s="4"/>
      <c r="J61" s="4"/>
      <c r="K61" s="4"/>
      <c r="L61" s="4"/>
      <c r="M61" s="4"/>
      <c r="N61" s="4"/>
      <c r="O61" s="4"/>
      <c r="P61" s="4"/>
      <c r="Q61" s="4"/>
      <c r="R61" s="4"/>
      <c r="S61" s="4"/>
      <c r="T61" s="4"/>
      <c r="U61" s="4"/>
      <c r="V61" s="4"/>
      <c r="W61" s="4"/>
      <c r="X61" s="4"/>
      <c r="Y61" s="4"/>
      <c r="Z61" s="4"/>
    </row>
    <row r="62" spans="1:26" ht="13.2">
      <c r="A62" s="73"/>
      <c r="B62" s="6"/>
      <c r="C62" s="73"/>
      <c r="D62" s="73"/>
      <c r="E62" s="73"/>
      <c r="F62" s="76"/>
      <c r="G62" s="4"/>
      <c r="H62" s="4"/>
      <c r="I62" s="4"/>
      <c r="J62" s="4"/>
      <c r="K62" s="4"/>
      <c r="L62" s="4"/>
      <c r="M62" s="4"/>
      <c r="N62" s="4"/>
      <c r="O62" s="4"/>
      <c r="P62" s="4"/>
      <c r="Q62" s="4"/>
      <c r="R62" s="4"/>
      <c r="S62" s="4"/>
      <c r="T62" s="4"/>
      <c r="U62" s="4"/>
      <c r="V62" s="4"/>
      <c r="W62" s="4"/>
      <c r="X62" s="4"/>
      <c r="Y62" s="4"/>
      <c r="Z62" s="4"/>
    </row>
    <row r="63" spans="1:26" ht="13.2">
      <c r="A63" s="73"/>
      <c r="B63" s="6"/>
      <c r="C63" s="73"/>
      <c r="D63" s="73"/>
      <c r="E63" s="73"/>
      <c r="F63" s="6"/>
      <c r="G63" s="4"/>
      <c r="H63" s="4"/>
      <c r="I63" s="4"/>
      <c r="J63" s="4"/>
      <c r="K63" s="4"/>
      <c r="L63" s="4"/>
      <c r="M63" s="4"/>
      <c r="N63" s="4"/>
      <c r="O63" s="4"/>
      <c r="P63" s="4"/>
      <c r="Q63" s="4"/>
      <c r="R63" s="4"/>
      <c r="S63" s="4"/>
      <c r="T63" s="4"/>
      <c r="U63" s="4"/>
      <c r="V63" s="4"/>
      <c r="W63" s="4"/>
      <c r="X63" s="4"/>
      <c r="Y63" s="4"/>
      <c r="Z63" s="4"/>
    </row>
    <row r="64" spans="1:26" ht="13.2">
      <c r="A64" s="73"/>
      <c r="B64" s="6"/>
      <c r="C64" s="73"/>
      <c r="D64" s="73"/>
      <c r="E64" s="73"/>
      <c r="F64" s="6"/>
      <c r="G64" s="4"/>
      <c r="H64" s="4"/>
      <c r="I64" s="4"/>
      <c r="J64" s="4"/>
      <c r="K64" s="4"/>
      <c r="L64" s="4"/>
      <c r="M64" s="4"/>
      <c r="N64" s="4"/>
      <c r="O64" s="4"/>
      <c r="P64" s="4"/>
      <c r="Q64" s="4"/>
      <c r="R64" s="4"/>
      <c r="S64" s="4"/>
      <c r="T64" s="4"/>
      <c r="U64" s="4"/>
      <c r="V64" s="4"/>
      <c r="W64" s="4"/>
      <c r="X64" s="4"/>
      <c r="Y64" s="4"/>
      <c r="Z64" s="4"/>
    </row>
    <row r="65" spans="1:26" ht="13.2">
      <c r="A65" s="6"/>
      <c r="B65" s="6"/>
      <c r="C65" s="6"/>
      <c r="D65" s="13"/>
      <c r="E65" s="74"/>
      <c r="F65" s="6"/>
      <c r="G65" s="4"/>
      <c r="H65" s="4"/>
      <c r="I65" s="4"/>
      <c r="J65" s="4"/>
      <c r="K65" s="4"/>
      <c r="L65" s="4"/>
      <c r="M65" s="4"/>
      <c r="N65" s="4"/>
      <c r="O65" s="4"/>
      <c r="P65" s="4"/>
      <c r="Q65" s="4"/>
      <c r="R65" s="4"/>
      <c r="S65" s="4"/>
      <c r="T65" s="4"/>
      <c r="U65" s="4"/>
      <c r="V65" s="4"/>
      <c r="W65" s="4"/>
      <c r="X65" s="4"/>
      <c r="Y65" s="4"/>
      <c r="Z65" s="4"/>
    </row>
    <row r="66" spans="1:26" ht="13.2">
      <c r="A66" s="6"/>
      <c r="B66" s="6"/>
      <c r="C66" s="6"/>
      <c r="D66" s="6"/>
      <c r="E66" s="6"/>
      <c r="F66" s="6"/>
      <c r="G66" s="4"/>
      <c r="H66" s="4"/>
      <c r="I66" s="4"/>
      <c r="J66" s="4"/>
      <c r="K66" s="4"/>
      <c r="L66" s="4"/>
      <c r="M66" s="4"/>
      <c r="N66" s="4"/>
      <c r="O66" s="4"/>
      <c r="P66" s="4"/>
      <c r="Q66" s="4"/>
      <c r="R66" s="4"/>
      <c r="S66" s="4"/>
      <c r="T66" s="4"/>
      <c r="U66" s="4"/>
      <c r="V66" s="4"/>
      <c r="W66" s="4"/>
      <c r="X66" s="4"/>
      <c r="Y66" s="4"/>
      <c r="Z66" s="4"/>
    </row>
    <row r="67" spans="1:26" ht="13.2">
      <c r="G67" s="4"/>
      <c r="H67" s="4"/>
      <c r="I67" s="4"/>
      <c r="J67" s="4"/>
      <c r="K67" s="4"/>
      <c r="L67" s="4"/>
      <c r="M67" s="4"/>
      <c r="N67" s="4"/>
      <c r="O67" s="4"/>
      <c r="P67" s="4"/>
      <c r="Q67" s="4"/>
      <c r="R67" s="4"/>
      <c r="S67" s="4"/>
      <c r="T67" s="4"/>
      <c r="U67" s="4"/>
      <c r="V67" s="4"/>
      <c r="W67" s="4"/>
      <c r="X67" s="4"/>
      <c r="Y67" s="4"/>
      <c r="Z67" s="4"/>
    </row>
    <row r="68" spans="1:26" ht="13.2">
      <c r="G68" s="4"/>
      <c r="H68" s="4"/>
      <c r="I68" s="4"/>
      <c r="J68" s="4"/>
      <c r="K68" s="4"/>
      <c r="L68" s="4"/>
      <c r="M68" s="4"/>
      <c r="N68" s="4"/>
      <c r="O68" s="4"/>
      <c r="P68" s="4"/>
      <c r="Q68" s="4"/>
      <c r="R68" s="4"/>
      <c r="S68" s="4"/>
      <c r="T68" s="4"/>
      <c r="U68" s="4"/>
      <c r="V68" s="4"/>
      <c r="W68" s="4"/>
      <c r="X68" s="4"/>
      <c r="Y68" s="4"/>
      <c r="Z68" s="4"/>
    </row>
    <row r="69" spans="1:26" ht="13.2">
      <c r="G69" s="4"/>
      <c r="H69" s="4"/>
      <c r="I69" s="4"/>
      <c r="J69" s="4"/>
      <c r="K69" s="4"/>
      <c r="L69" s="4"/>
      <c r="M69" s="4"/>
      <c r="N69" s="4"/>
      <c r="O69" s="4"/>
      <c r="P69" s="4"/>
      <c r="Q69" s="4"/>
      <c r="R69" s="4"/>
      <c r="S69" s="4"/>
      <c r="T69" s="4"/>
      <c r="U69" s="4"/>
      <c r="V69" s="4"/>
      <c r="W69" s="4"/>
      <c r="X69" s="4"/>
      <c r="Y69" s="4"/>
      <c r="Z69" s="4"/>
    </row>
    <row r="70" spans="1:26" ht="13.2">
      <c r="G70" s="4"/>
      <c r="H70" s="4"/>
      <c r="I70" s="4"/>
      <c r="J70" s="4"/>
      <c r="K70" s="4"/>
      <c r="L70" s="4"/>
      <c r="M70" s="4"/>
      <c r="N70" s="4"/>
      <c r="O70" s="4"/>
      <c r="P70" s="4"/>
      <c r="Q70" s="4"/>
      <c r="R70" s="4"/>
      <c r="S70" s="4"/>
      <c r="T70" s="4"/>
      <c r="U70" s="4"/>
      <c r="V70" s="4"/>
      <c r="W70" s="4"/>
      <c r="X70" s="4"/>
      <c r="Y70" s="4"/>
      <c r="Z70" s="4"/>
    </row>
    <row r="71" spans="1:26" ht="13.2">
      <c r="G71" s="4"/>
      <c r="H71" s="4"/>
      <c r="I71" s="4"/>
      <c r="J71" s="4"/>
      <c r="K71" s="4"/>
      <c r="L71" s="4"/>
      <c r="M71" s="4"/>
      <c r="N71" s="4"/>
      <c r="O71" s="4"/>
      <c r="P71" s="4"/>
      <c r="Q71" s="4"/>
      <c r="R71" s="4"/>
      <c r="S71" s="4"/>
      <c r="T71" s="4"/>
      <c r="U71" s="4"/>
      <c r="V71" s="4"/>
      <c r="W71" s="4"/>
      <c r="X71" s="4"/>
      <c r="Y71" s="4"/>
      <c r="Z71" s="4"/>
    </row>
    <row r="72" spans="1:26" ht="13.2">
      <c r="G72" s="4"/>
      <c r="H72" s="4"/>
      <c r="I72" s="4"/>
      <c r="J72" s="4"/>
      <c r="K72" s="4"/>
      <c r="L72" s="4"/>
      <c r="M72" s="4"/>
      <c r="N72" s="4"/>
      <c r="O72" s="4"/>
      <c r="P72" s="4"/>
      <c r="Q72" s="4"/>
      <c r="R72" s="4"/>
      <c r="S72" s="4"/>
      <c r="T72" s="4"/>
      <c r="U72" s="4"/>
      <c r="V72" s="4"/>
      <c r="W72" s="4"/>
      <c r="X72" s="4"/>
      <c r="Y72" s="4"/>
      <c r="Z72" s="4"/>
    </row>
    <row r="73" spans="1:26" ht="13.2">
      <c r="G73" s="4"/>
      <c r="H73" s="4"/>
      <c r="I73" s="4"/>
      <c r="J73" s="4"/>
      <c r="K73" s="4"/>
      <c r="L73" s="4"/>
      <c r="M73" s="4"/>
      <c r="N73" s="4"/>
      <c r="O73" s="4"/>
      <c r="P73" s="4"/>
      <c r="Q73" s="4"/>
      <c r="R73" s="4"/>
      <c r="S73" s="4"/>
      <c r="T73" s="4"/>
      <c r="U73" s="4"/>
      <c r="V73" s="4"/>
      <c r="W73" s="4"/>
      <c r="X73" s="4"/>
      <c r="Y73" s="4"/>
      <c r="Z73" s="4"/>
    </row>
    <row r="74" spans="1:26" ht="13.2">
      <c r="G74" s="4"/>
      <c r="H74" s="4"/>
      <c r="I74" s="4"/>
      <c r="J74" s="4"/>
      <c r="K74" s="4"/>
      <c r="L74" s="4"/>
      <c r="M74" s="4"/>
      <c r="N74" s="4"/>
      <c r="O74" s="4"/>
      <c r="P74" s="4"/>
      <c r="Q74" s="4"/>
      <c r="R74" s="4"/>
      <c r="S74" s="4"/>
      <c r="T74" s="4"/>
      <c r="U74" s="4"/>
      <c r="V74" s="4"/>
      <c r="W74" s="4"/>
      <c r="X74" s="4"/>
      <c r="Y74" s="4"/>
      <c r="Z74" s="4"/>
    </row>
    <row r="75" spans="1:26" ht="13.2">
      <c r="G75" s="4"/>
      <c r="H75" s="4"/>
      <c r="I75" s="4"/>
      <c r="J75" s="4"/>
      <c r="K75" s="4"/>
      <c r="L75" s="4"/>
      <c r="M75" s="4"/>
      <c r="N75" s="4"/>
      <c r="O75" s="4"/>
      <c r="P75" s="4"/>
      <c r="Q75" s="4"/>
      <c r="R75" s="4"/>
      <c r="S75" s="4"/>
      <c r="T75" s="4"/>
      <c r="U75" s="4"/>
      <c r="V75" s="4"/>
      <c r="W75" s="4"/>
      <c r="X75" s="4"/>
      <c r="Y75" s="4"/>
      <c r="Z75" s="4"/>
    </row>
    <row r="76" spans="1:26" ht="13.2">
      <c r="G76" s="4"/>
      <c r="H76" s="4"/>
      <c r="I76" s="4"/>
      <c r="J76" s="4"/>
      <c r="K76" s="4"/>
      <c r="L76" s="4"/>
      <c r="M76" s="4"/>
      <c r="N76" s="4"/>
      <c r="O76" s="4"/>
      <c r="P76" s="4"/>
      <c r="Q76" s="4"/>
      <c r="R76" s="4"/>
      <c r="S76" s="4"/>
      <c r="T76" s="4"/>
      <c r="U76" s="4"/>
      <c r="V76" s="4"/>
      <c r="W76" s="4"/>
      <c r="X76" s="4"/>
      <c r="Y76" s="4"/>
      <c r="Z76" s="4"/>
    </row>
    <row r="77" spans="1:26" ht="13.2">
      <c r="G77" s="4"/>
      <c r="H77" s="4"/>
      <c r="I77" s="4"/>
      <c r="J77" s="4"/>
      <c r="K77" s="4"/>
      <c r="L77" s="4"/>
      <c r="M77" s="4"/>
      <c r="N77" s="4"/>
      <c r="O77" s="4"/>
      <c r="P77" s="4"/>
      <c r="Q77" s="4"/>
      <c r="R77" s="4"/>
      <c r="S77" s="4"/>
      <c r="T77" s="4"/>
      <c r="U77" s="4"/>
      <c r="V77" s="4"/>
      <c r="W77" s="4"/>
      <c r="X77" s="4"/>
      <c r="Y77" s="4"/>
      <c r="Z77" s="4"/>
    </row>
    <row r="78" spans="1:26" ht="13.2">
      <c r="G78" s="4"/>
      <c r="H78" s="4"/>
      <c r="I78" s="4"/>
      <c r="J78" s="4"/>
      <c r="K78" s="4"/>
      <c r="L78" s="4"/>
      <c r="M78" s="4"/>
      <c r="N78" s="4"/>
      <c r="O78" s="4"/>
      <c r="P78" s="4"/>
      <c r="Q78" s="4"/>
      <c r="R78" s="4"/>
      <c r="S78" s="4"/>
      <c r="T78" s="4"/>
      <c r="U78" s="4"/>
      <c r="V78" s="4"/>
      <c r="W78" s="4"/>
      <c r="X78" s="4"/>
      <c r="Y78" s="4"/>
      <c r="Z78" s="4"/>
    </row>
    <row r="79" spans="1:26" ht="13.2">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sheetData>
  <mergeCells count="6">
    <mergeCell ref="A47:B47"/>
    <mergeCell ref="A16:F16"/>
    <mergeCell ref="A32:F32"/>
    <mergeCell ref="A39:F39"/>
    <mergeCell ref="A41:B41"/>
    <mergeCell ref="A45:B45"/>
  </mergeCells>
  <hyperlinks>
    <hyperlink ref="F18" r:id="rId1" location="tab-specification" xr:uid="{00000000-0004-0000-0600-000000000000}"/>
    <hyperlink ref="F19" r:id="rId2" location="tab-reviews" xr:uid="{00000000-0004-0000-0600-000001000000}"/>
    <hyperlink ref="F20" r:id="rId3" xr:uid="{00000000-0004-0000-0600-000002000000}"/>
    <hyperlink ref="F21" r:id="rId4" xr:uid="{00000000-0004-0000-0600-000003000000}"/>
    <hyperlink ref="F22" r:id="rId5" xr:uid="{00000000-0004-0000-0600-000004000000}"/>
    <hyperlink ref="F23" r:id="rId6" location="tab-specification" xr:uid="{00000000-0004-0000-0600-000005000000}"/>
    <hyperlink ref="F24" r:id="rId7" xr:uid="{00000000-0004-0000-0600-000006000000}"/>
    <hyperlink ref="F25" r:id="rId8" xr:uid="{00000000-0004-0000-0600-000007000000}"/>
    <hyperlink ref="F26" r:id="rId9" xr:uid="{00000000-0004-0000-0600-000008000000}"/>
    <hyperlink ref="F27" r:id="rId10" location="tab-reviews" xr:uid="{00000000-0004-0000-0600-000009000000}"/>
    <hyperlink ref="F28" r:id="rId11" xr:uid="{00000000-0004-0000-0600-00000A000000}"/>
    <hyperlink ref="F29" r:id="rId12" xr:uid="{00000000-0004-0000-0600-00000B000000}"/>
    <hyperlink ref="F34" r:id="rId13" xr:uid="{00000000-0004-0000-0600-00000C000000}"/>
    <hyperlink ref="F35" r:id="rId14" xr:uid="{00000000-0004-0000-0600-00000D000000}"/>
    <hyperlink ref="F36" r:id="rId15" xr:uid="{00000000-0004-0000-0600-00000E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22"/>
  <sheetViews>
    <sheetView workbookViewId="0"/>
  </sheetViews>
  <sheetFormatPr defaultColWidth="12.6640625" defaultRowHeight="15.75" customHeight="1"/>
  <cols>
    <col min="1" max="1" width="44.88671875" customWidth="1"/>
    <col min="2" max="2" width="49.21875" customWidth="1"/>
  </cols>
  <sheetData>
    <row r="1" spans="1:26" ht="13.2">
      <c r="A1" s="81" t="s">
        <v>1</v>
      </c>
      <c r="B1" s="82"/>
      <c r="C1" s="6"/>
      <c r="D1" s="6"/>
      <c r="E1" s="6"/>
      <c r="F1" s="6"/>
      <c r="G1" s="4"/>
      <c r="H1" s="4"/>
      <c r="I1" s="4"/>
      <c r="J1" s="4"/>
      <c r="K1" s="4"/>
      <c r="L1" s="4"/>
      <c r="M1" s="4"/>
      <c r="N1" s="4"/>
      <c r="O1" s="4"/>
      <c r="P1" s="4"/>
      <c r="Q1" s="4"/>
      <c r="R1" s="4"/>
      <c r="S1" s="4"/>
      <c r="T1" s="4"/>
      <c r="U1" s="4"/>
      <c r="V1" s="4"/>
      <c r="W1" s="4"/>
      <c r="X1" s="4"/>
      <c r="Y1" s="4"/>
      <c r="Z1" s="4"/>
    </row>
    <row r="2" spans="1:26" ht="13.2">
      <c r="A2" s="83" t="s">
        <v>2</v>
      </c>
      <c r="B2" s="84" t="s">
        <v>9</v>
      </c>
      <c r="C2" s="6"/>
      <c r="D2" s="6"/>
      <c r="E2" s="6"/>
      <c r="F2" s="6"/>
      <c r="G2" s="4"/>
      <c r="H2" s="4"/>
      <c r="I2" s="4"/>
      <c r="J2" s="4"/>
      <c r="K2" s="4"/>
      <c r="L2" s="4"/>
      <c r="M2" s="4"/>
      <c r="N2" s="4"/>
      <c r="O2" s="4"/>
      <c r="P2" s="4"/>
      <c r="Q2" s="4"/>
      <c r="R2" s="4"/>
      <c r="S2" s="4"/>
      <c r="T2" s="4"/>
      <c r="U2" s="4"/>
      <c r="V2" s="4"/>
      <c r="W2" s="4"/>
      <c r="X2" s="4"/>
      <c r="Y2" s="4"/>
      <c r="Z2" s="4"/>
    </row>
    <row r="3" spans="1:26" ht="13.2">
      <c r="A3" s="85" t="s">
        <v>3</v>
      </c>
      <c r="B3" s="86">
        <f>SUM(E38,E94,E107)</f>
        <v>44000</v>
      </c>
      <c r="C3" s="6"/>
      <c r="D3" s="6"/>
      <c r="E3" s="6"/>
      <c r="F3" s="6"/>
      <c r="G3" s="4"/>
      <c r="H3" s="4"/>
      <c r="I3" s="4"/>
      <c r="J3" s="4"/>
      <c r="K3" s="4"/>
      <c r="L3" s="4"/>
      <c r="M3" s="4"/>
      <c r="N3" s="4"/>
      <c r="O3" s="4"/>
      <c r="P3" s="4"/>
      <c r="Q3" s="4"/>
      <c r="R3" s="4"/>
      <c r="S3" s="4"/>
      <c r="T3" s="4"/>
      <c r="U3" s="4"/>
      <c r="V3" s="4"/>
      <c r="W3" s="4"/>
      <c r="X3" s="4"/>
      <c r="Y3" s="4"/>
      <c r="Z3" s="4"/>
    </row>
    <row r="4" spans="1:26" ht="13.2">
      <c r="A4" s="85" t="s">
        <v>4</v>
      </c>
      <c r="B4" s="86">
        <f>SUM(E43,E84)</f>
        <v>43826</v>
      </c>
      <c r="C4" s="6"/>
      <c r="D4" s="6"/>
      <c r="E4" s="6"/>
      <c r="F4" s="6"/>
      <c r="G4" s="4"/>
      <c r="H4" s="4"/>
      <c r="I4" s="4"/>
      <c r="J4" s="4"/>
      <c r="K4" s="4"/>
      <c r="L4" s="4"/>
      <c r="M4" s="4"/>
      <c r="N4" s="4"/>
      <c r="O4" s="4"/>
      <c r="P4" s="4"/>
      <c r="Q4" s="4"/>
      <c r="R4" s="4"/>
      <c r="S4" s="4"/>
      <c r="T4" s="4"/>
      <c r="U4" s="4"/>
      <c r="V4" s="4"/>
      <c r="W4" s="4"/>
      <c r="X4" s="4"/>
      <c r="Y4" s="4"/>
      <c r="Z4" s="4"/>
    </row>
    <row r="5" spans="1:26" ht="13.2">
      <c r="A5" s="83" t="s">
        <v>5</v>
      </c>
      <c r="B5" s="86">
        <f>SUM(B3:B4)</f>
        <v>87826</v>
      </c>
      <c r="C5" s="6"/>
      <c r="D5" s="6"/>
      <c r="E5" s="6"/>
      <c r="F5" s="6"/>
      <c r="G5" s="4"/>
      <c r="H5" s="4"/>
      <c r="I5" s="4"/>
      <c r="J5" s="4"/>
      <c r="K5" s="4"/>
      <c r="L5" s="4"/>
      <c r="M5" s="4"/>
      <c r="N5" s="4"/>
      <c r="O5" s="4"/>
      <c r="P5" s="4"/>
      <c r="Q5" s="4"/>
      <c r="R5" s="4"/>
      <c r="S5" s="4"/>
      <c r="T5" s="4"/>
      <c r="U5" s="4"/>
      <c r="V5" s="4"/>
      <c r="W5" s="4"/>
      <c r="X5" s="4"/>
      <c r="Y5" s="4"/>
      <c r="Z5" s="4"/>
    </row>
    <row r="6" spans="1:26" ht="13.2">
      <c r="A6" s="6"/>
      <c r="B6" s="6"/>
      <c r="C6" s="6"/>
      <c r="D6" s="6"/>
      <c r="E6" s="6"/>
      <c r="F6" s="6"/>
      <c r="G6" s="4"/>
      <c r="H6" s="4"/>
      <c r="I6" s="4"/>
      <c r="J6" s="4"/>
      <c r="K6" s="4"/>
      <c r="L6" s="4"/>
      <c r="M6" s="4"/>
      <c r="N6" s="4"/>
      <c r="O6" s="4"/>
      <c r="P6" s="4"/>
      <c r="Q6" s="4"/>
      <c r="R6" s="4"/>
      <c r="S6" s="4"/>
      <c r="T6" s="4"/>
      <c r="U6" s="4"/>
      <c r="V6" s="4"/>
      <c r="W6" s="4"/>
      <c r="X6" s="4"/>
      <c r="Y6" s="4"/>
      <c r="Z6" s="4"/>
    </row>
    <row r="7" spans="1:26" ht="13.2">
      <c r="A7" s="13" t="s">
        <v>14</v>
      </c>
      <c r="B7" s="6"/>
      <c r="C7" s="6"/>
      <c r="D7" s="6"/>
      <c r="E7" s="6"/>
      <c r="F7" s="6"/>
      <c r="G7" s="4"/>
      <c r="H7" s="4"/>
      <c r="I7" s="4"/>
      <c r="J7" s="4"/>
      <c r="K7" s="4"/>
      <c r="L7" s="4"/>
      <c r="M7" s="4"/>
      <c r="N7" s="4"/>
      <c r="O7" s="4"/>
      <c r="P7" s="4"/>
      <c r="Q7" s="4"/>
      <c r="R7" s="4"/>
      <c r="S7" s="4"/>
      <c r="T7" s="4"/>
      <c r="U7" s="4"/>
      <c r="V7" s="4"/>
      <c r="W7" s="4"/>
      <c r="X7" s="4"/>
      <c r="Y7" s="4"/>
      <c r="Z7" s="4"/>
    </row>
    <row r="8" spans="1:26" ht="13.2">
      <c r="A8" s="6"/>
      <c r="B8" s="6"/>
      <c r="C8" s="6"/>
      <c r="D8" s="6"/>
      <c r="E8" s="6"/>
      <c r="F8" s="6"/>
      <c r="G8" s="4"/>
      <c r="H8" s="4"/>
      <c r="I8" s="4"/>
      <c r="J8" s="4"/>
      <c r="K8" s="4"/>
      <c r="L8" s="4"/>
      <c r="M8" s="4"/>
      <c r="N8" s="4"/>
      <c r="O8" s="4"/>
      <c r="P8" s="4"/>
      <c r="Q8" s="4"/>
      <c r="R8" s="4"/>
      <c r="S8" s="4"/>
      <c r="T8" s="4"/>
      <c r="U8" s="4"/>
      <c r="V8" s="4"/>
      <c r="W8" s="4"/>
      <c r="X8" s="4"/>
      <c r="Y8" s="4"/>
      <c r="Z8" s="4"/>
    </row>
    <row r="9" spans="1:26" ht="13.2">
      <c r="A9" s="7" t="s">
        <v>425</v>
      </c>
      <c r="B9" s="7" t="s">
        <v>426</v>
      </c>
      <c r="C9" s="6"/>
      <c r="D9" s="6"/>
      <c r="E9" s="6"/>
      <c r="F9" s="6"/>
      <c r="G9" s="4"/>
      <c r="H9" s="4"/>
      <c r="I9" s="4"/>
      <c r="J9" s="4"/>
      <c r="K9" s="4"/>
      <c r="L9" s="4"/>
      <c r="M9" s="4"/>
      <c r="N9" s="4"/>
      <c r="O9" s="4"/>
      <c r="P9" s="4"/>
      <c r="Q9" s="4"/>
      <c r="R9" s="4"/>
      <c r="S9" s="4"/>
      <c r="T9" s="4"/>
      <c r="U9" s="4"/>
      <c r="V9" s="4"/>
      <c r="W9" s="4"/>
      <c r="X9" s="4"/>
      <c r="Y9" s="4"/>
      <c r="Z9" s="4"/>
    </row>
    <row r="10" spans="1:26" ht="13.2">
      <c r="A10" s="7" t="s">
        <v>28</v>
      </c>
      <c r="B10" s="7" t="s">
        <v>427</v>
      </c>
      <c r="C10" s="6"/>
      <c r="D10" s="6"/>
      <c r="E10" s="6"/>
      <c r="F10" s="6"/>
      <c r="G10" s="4"/>
      <c r="H10" s="4"/>
      <c r="I10" s="4"/>
      <c r="J10" s="4"/>
      <c r="K10" s="4"/>
      <c r="L10" s="4"/>
      <c r="M10" s="4"/>
      <c r="N10" s="4"/>
      <c r="O10" s="4"/>
      <c r="P10" s="4"/>
      <c r="Q10" s="4"/>
      <c r="R10" s="4"/>
      <c r="S10" s="4"/>
      <c r="T10" s="4"/>
      <c r="U10" s="4"/>
      <c r="V10" s="4"/>
      <c r="W10" s="4"/>
      <c r="X10" s="4"/>
      <c r="Y10" s="4"/>
      <c r="Z10" s="4"/>
    </row>
    <row r="11" spans="1:26" ht="13.2">
      <c r="A11" s="7" t="s">
        <v>32</v>
      </c>
      <c r="B11" s="7" t="s">
        <v>428</v>
      </c>
      <c r="C11" s="6"/>
      <c r="D11" s="6"/>
      <c r="E11" s="6"/>
      <c r="F11" s="6"/>
      <c r="G11" s="4"/>
      <c r="H11" s="4"/>
      <c r="I11" s="4"/>
      <c r="J11" s="4"/>
      <c r="K11" s="4"/>
      <c r="L11" s="4"/>
      <c r="M11" s="4"/>
      <c r="N11" s="4"/>
      <c r="O11" s="4"/>
      <c r="P11" s="4"/>
      <c r="Q11" s="4"/>
      <c r="R11" s="4"/>
      <c r="S11" s="4"/>
      <c r="T11" s="4"/>
      <c r="U11" s="4"/>
      <c r="V11" s="4"/>
      <c r="W11" s="4"/>
      <c r="X11" s="4"/>
      <c r="Y11" s="4"/>
      <c r="Z11" s="4"/>
    </row>
    <row r="12" spans="1:26" ht="13.2">
      <c r="A12" s="7" t="s">
        <v>429</v>
      </c>
      <c r="B12" s="7" t="s">
        <v>430</v>
      </c>
      <c r="C12" s="6"/>
      <c r="D12" s="6"/>
      <c r="E12" s="6"/>
      <c r="F12" s="6"/>
      <c r="G12" s="4"/>
      <c r="H12" s="4"/>
      <c r="I12" s="4"/>
      <c r="J12" s="4"/>
      <c r="K12" s="4"/>
      <c r="L12" s="4"/>
      <c r="M12" s="4"/>
      <c r="N12" s="4"/>
      <c r="O12" s="4"/>
      <c r="P12" s="4"/>
      <c r="Q12" s="4"/>
      <c r="R12" s="4"/>
      <c r="S12" s="4"/>
      <c r="T12" s="4"/>
      <c r="U12" s="4"/>
      <c r="V12" s="4"/>
      <c r="W12" s="4"/>
      <c r="X12" s="4"/>
      <c r="Y12" s="4"/>
      <c r="Z12" s="4"/>
    </row>
    <row r="13" spans="1:26" ht="13.2">
      <c r="A13" s="6"/>
      <c r="B13" s="6"/>
      <c r="C13" s="6"/>
      <c r="D13" s="6"/>
      <c r="E13" s="6"/>
      <c r="F13" s="6"/>
      <c r="G13" s="4"/>
      <c r="H13" s="4"/>
      <c r="I13" s="4"/>
      <c r="J13" s="4"/>
      <c r="K13" s="4"/>
      <c r="L13" s="4"/>
      <c r="M13" s="4"/>
      <c r="N13" s="4"/>
      <c r="O13" s="4"/>
      <c r="P13" s="4"/>
      <c r="Q13" s="4"/>
      <c r="R13" s="4"/>
      <c r="S13" s="4"/>
      <c r="T13" s="4"/>
      <c r="U13" s="4"/>
      <c r="V13" s="4"/>
      <c r="W13" s="4"/>
      <c r="X13" s="4"/>
      <c r="Y13" s="4"/>
      <c r="Z13" s="4"/>
    </row>
    <row r="14" spans="1:26" ht="13.2">
      <c r="A14" s="7" t="s">
        <v>432</v>
      </c>
      <c r="B14" s="7" t="s">
        <v>433</v>
      </c>
      <c r="C14" s="6"/>
      <c r="D14" s="6"/>
      <c r="E14" s="6"/>
      <c r="F14" s="6"/>
      <c r="G14" s="4"/>
      <c r="H14" s="4"/>
      <c r="I14" s="4"/>
      <c r="J14" s="4"/>
      <c r="K14" s="4"/>
      <c r="L14" s="4"/>
      <c r="M14" s="4"/>
      <c r="N14" s="4"/>
      <c r="O14" s="4"/>
      <c r="P14" s="4"/>
      <c r="Q14" s="4"/>
      <c r="R14" s="4"/>
      <c r="S14" s="4"/>
      <c r="T14" s="4"/>
      <c r="U14" s="4"/>
      <c r="V14" s="4"/>
      <c r="W14" s="4"/>
      <c r="X14" s="4"/>
      <c r="Y14" s="4"/>
      <c r="Z14" s="4"/>
    </row>
    <row r="15" spans="1:26" ht="13.2">
      <c r="A15" s="7" t="s">
        <v>28</v>
      </c>
      <c r="B15" s="7" t="s">
        <v>435</v>
      </c>
      <c r="C15" s="6"/>
      <c r="D15" s="6"/>
      <c r="E15" s="6"/>
      <c r="F15" s="6"/>
      <c r="G15" s="4"/>
      <c r="H15" s="4"/>
      <c r="I15" s="4"/>
      <c r="J15" s="4"/>
      <c r="K15" s="4"/>
      <c r="L15" s="4"/>
      <c r="M15" s="4"/>
      <c r="N15" s="4"/>
      <c r="O15" s="4"/>
      <c r="P15" s="4"/>
      <c r="Q15" s="4"/>
      <c r="R15" s="4"/>
      <c r="S15" s="4"/>
      <c r="T15" s="4"/>
      <c r="U15" s="4"/>
      <c r="V15" s="4"/>
      <c r="W15" s="4"/>
      <c r="X15" s="4"/>
      <c r="Y15" s="4"/>
      <c r="Z15" s="4"/>
    </row>
    <row r="16" spans="1:26" ht="13.2">
      <c r="A16" s="7" t="s">
        <v>32</v>
      </c>
      <c r="B16" s="7" t="s">
        <v>437</v>
      </c>
      <c r="C16" s="6"/>
      <c r="D16" s="6"/>
      <c r="E16" s="6"/>
      <c r="F16" s="6"/>
      <c r="G16" s="4"/>
      <c r="H16" s="4"/>
      <c r="I16" s="4"/>
      <c r="J16" s="4"/>
      <c r="K16" s="4"/>
      <c r="L16" s="4"/>
      <c r="M16" s="4"/>
      <c r="N16" s="4"/>
      <c r="O16" s="4"/>
      <c r="P16" s="4"/>
      <c r="Q16" s="4"/>
      <c r="R16" s="4"/>
      <c r="S16" s="4"/>
      <c r="T16" s="4"/>
      <c r="U16" s="4"/>
      <c r="V16" s="4"/>
      <c r="W16" s="4"/>
      <c r="X16" s="4"/>
      <c r="Y16" s="4"/>
      <c r="Z16" s="4"/>
    </row>
    <row r="17" spans="1:26" ht="13.2">
      <c r="A17" s="7" t="s">
        <v>429</v>
      </c>
      <c r="B17" s="7" t="s">
        <v>430</v>
      </c>
      <c r="C17" s="6"/>
      <c r="D17" s="6"/>
      <c r="E17" s="6"/>
      <c r="F17" s="6"/>
      <c r="G17" s="4"/>
      <c r="H17" s="4"/>
      <c r="I17" s="4"/>
      <c r="J17" s="4"/>
      <c r="K17" s="4"/>
      <c r="L17" s="4"/>
      <c r="M17" s="4"/>
      <c r="N17" s="4"/>
      <c r="O17" s="4"/>
      <c r="P17" s="4"/>
      <c r="Q17" s="4"/>
      <c r="R17" s="4"/>
      <c r="S17" s="4"/>
      <c r="T17" s="4"/>
      <c r="U17" s="4"/>
      <c r="V17" s="4"/>
      <c r="W17" s="4"/>
      <c r="X17" s="4"/>
      <c r="Y17" s="4"/>
      <c r="Z17" s="4"/>
    </row>
    <row r="18" spans="1:26" ht="13.2">
      <c r="A18" s="6"/>
      <c r="B18" s="6"/>
      <c r="C18" s="6"/>
      <c r="D18" s="6"/>
      <c r="E18" s="6"/>
      <c r="F18" s="6"/>
      <c r="G18" s="4"/>
      <c r="H18" s="4"/>
      <c r="I18" s="4"/>
      <c r="J18" s="4"/>
      <c r="K18" s="4"/>
      <c r="L18" s="4"/>
      <c r="M18" s="4"/>
      <c r="N18" s="4"/>
      <c r="O18" s="4"/>
      <c r="P18" s="4"/>
      <c r="Q18" s="4"/>
      <c r="R18" s="4"/>
      <c r="S18" s="4"/>
      <c r="T18" s="4"/>
      <c r="U18" s="4"/>
      <c r="V18" s="4"/>
      <c r="W18" s="4"/>
      <c r="X18" s="4"/>
      <c r="Y18" s="4"/>
      <c r="Z18" s="4"/>
    </row>
    <row r="19" spans="1:26" ht="13.2">
      <c r="A19" s="7" t="s">
        <v>438</v>
      </c>
      <c r="B19" s="7" t="s">
        <v>439</v>
      </c>
      <c r="C19" s="6"/>
      <c r="D19" s="6"/>
      <c r="E19" s="6"/>
      <c r="F19" s="6"/>
      <c r="G19" s="4"/>
      <c r="H19" s="4"/>
      <c r="I19" s="4"/>
      <c r="J19" s="4"/>
      <c r="K19" s="4"/>
      <c r="L19" s="4"/>
      <c r="M19" s="4"/>
      <c r="N19" s="4"/>
      <c r="O19" s="4"/>
      <c r="P19" s="4"/>
      <c r="Q19" s="4"/>
      <c r="R19" s="4"/>
      <c r="S19" s="4"/>
      <c r="T19" s="4"/>
      <c r="U19" s="4"/>
      <c r="V19" s="4"/>
      <c r="W19" s="4"/>
      <c r="X19" s="4"/>
      <c r="Y19" s="4"/>
      <c r="Z19" s="4"/>
    </row>
    <row r="20" spans="1:26" ht="13.2">
      <c r="A20" s="7" t="s">
        <v>28</v>
      </c>
      <c r="B20" s="7" t="s">
        <v>440</v>
      </c>
      <c r="C20" s="6"/>
      <c r="D20" s="6"/>
      <c r="E20" s="6"/>
      <c r="F20" s="6"/>
      <c r="G20" s="4"/>
      <c r="H20" s="4"/>
      <c r="I20" s="4"/>
      <c r="J20" s="4"/>
      <c r="K20" s="4"/>
      <c r="L20" s="4"/>
      <c r="M20" s="4"/>
      <c r="N20" s="4"/>
      <c r="O20" s="4"/>
      <c r="P20" s="4"/>
      <c r="Q20" s="4"/>
      <c r="R20" s="4"/>
      <c r="S20" s="4"/>
      <c r="T20" s="4"/>
      <c r="U20" s="4"/>
      <c r="V20" s="4"/>
      <c r="W20" s="4"/>
      <c r="X20" s="4"/>
      <c r="Y20" s="4"/>
      <c r="Z20" s="4"/>
    </row>
    <row r="21" spans="1:26" ht="13.2">
      <c r="A21" s="7" t="s">
        <v>32</v>
      </c>
      <c r="B21" s="7" t="s">
        <v>428</v>
      </c>
      <c r="C21" s="6"/>
      <c r="D21" s="6"/>
      <c r="E21" s="6"/>
      <c r="F21" s="6"/>
      <c r="G21" s="4"/>
      <c r="H21" s="4"/>
      <c r="I21" s="4"/>
      <c r="J21" s="4"/>
      <c r="K21" s="4"/>
      <c r="L21" s="4"/>
      <c r="M21" s="4"/>
      <c r="N21" s="4"/>
      <c r="O21" s="4"/>
      <c r="P21" s="4"/>
      <c r="Q21" s="4"/>
      <c r="R21" s="4"/>
      <c r="S21" s="4"/>
      <c r="T21" s="4"/>
      <c r="U21" s="4"/>
      <c r="V21" s="4"/>
      <c r="W21" s="4"/>
      <c r="X21" s="4"/>
      <c r="Y21" s="4"/>
      <c r="Z21" s="4"/>
    </row>
    <row r="22" spans="1:26" ht="13.2">
      <c r="A22" s="7" t="s">
        <v>429</v>
      </c>
      <c r="B22" s="7" t="s">
        <v>442</v>
      </c>
      <c r="C22" s="6"/>
      <c r="D22" s="6"/>
      <c r="E22" s="6"/>
      <c r="F22" s="6"/>
      <c r="G22" s="4"/>
      <c r="H22" s="4"/>
      <c r="I22" s="4"/>
      <c r="J22" s="4"/>
      <c r="K22" s="4"/>
      <c r="L22" s="4"/>
      <c r="M22" s="4"/>
      <c r="N22" s="4"/>
      <c r="O22" s="4"/>
      <c r="P22" s="4"/>
      <c r="Q22" s="4"/>
      <c r="R22" s="4"/>
      <c r="S22" s="4"/>
      <c r="T22" s="4"/>
      <c r="U22" s="4"/>
      <c r="V22" s="4"/>
      <c r="W22" s="4"/>
      <c r="X22" s="4"/>
      <c r="Y22" s="4"/>
      <c r="Z22" s="4"/>
    </row>
    <row r="23" spans="1:26" ht="13.2">
      <c r="A23" s="6"/>
      <c r="B23" s="6"/>
      <c r="C23" s="6"/>
      <c r="D23" s="6"/>
      <c r="E23" s="6"/>
      <c r="F23" s="6"/>
      <c r="G23" s="4"/>
      <c r="H23" s="4"/>
      <c r="I23" s="4"/>
      <c r="J23" s="4"/>
      <c r="K23" s="4"/>
      <c r="L23" s="4"/>
      <c r="M23" s="4"/>
      <c r="N23" s="4"/>
      <c r="O23" s="4"/>
      <c r="P23" s="4"/>
      <c r="Q23" s="4"/>
      <c r="R23" s="4"/>
      <c r="S23" s="4"/>
      <c r="T23" s="4"/>
      <c r="U23" s="4"/>
      <c r="V23" s="4"/>
      <c r="W23" s="4"/>
      <c r="X23" s="4"/>
      <c r="Y23" s="4"/>
      <c r="Z23" s="4"/>
    </row>
    <row r="24" spans="1:26" ht="13.2">
      <c r="A24" s="7" t="s">
        <v>444</v>
      </c>
      <c r="B24" s="7" t="s">
        <v>445</v>
      </c>
      <c r="C24" s="6"/>
      <c r="D24" s="6"/>
      <c r="E24" s="6"/>
      <c r="F24" s="6"/>
      <c r="G24" s="4"/>
      <c r="H24" s="4"/>
      <c r="I24" s="4"/>
      <c r="J24" s="4"/>
      <c r="K24" s="4"/>
      <c r="L24" s="4"/>
      <c r="M24" s="4"/>
      <c r="N24" s="4"/>
      <c r="O24" s="4"/>
      <c r="P24" s="4"/>
      <c r="Q24" s="4"/>
      <c r="R24" s="4"/>
      <c r="S24" s="4"/>
      <c r="T24" s="4"/>
      <c r="U24" s="4"/>
      <c r="V24" s="4"/>
      <c r="W24" s="4"/>
      <c r="X24" s="4"/>
      <c r="Y24" s="4"/>
      <c r="Z24" s="4"/>
    </row>
    <row r="25" spans="1:26" ht="13.2">
      <c r="A25" s="7" t="s">
        <v>28</v>
      </c>
      <c r="B25" s="7" t="s">
        <v>446</v>
      </c>
      <c r="C25" s="6"/>
      <c r="D25" s="6"/>
      <c r="E25" s="6"/>
      <c r="F25" s="6"/>
      <c r="G25" s="4"/>
      <c r="H25" s="4"/>
      <c r="I25" s="4"/>
      <c r="J25" s="4"/>
      <c r="K25" s="4"/>
      <c r="L25" s="4"/>
      <c r="M25" s="4"/>
      <c r="N25" s="4"/>
      <c r="O25" s="4"/>
      <c r="P25" s="4"/>
      <c r="Q25" s="4"/>
      <c r="R25" s="4"/>
      <c r="S25" s="4"/>
      <c r="T25" s="4"/>
      <c r="U25" s="4"/>
      <c r="V25" s="4"/>
      <c r="W25" s="4"/>
      <c r="X25" s="4"/>
      <c r="Y25" s="4"/>
      <c r="Z25" s="4"/>
    </row>
    <row r="26" spans="1:26" ht="13.2">
      <c r="A26" s="7" t="s">
        <v>32</v>
      </c>
      <c r="B26" s="7" t="s">
        <v>447</v>
      </c>
      <c r="C26" s="6"/>
      <c r="D26" s="6"/>
      <c r="E26" s="6"/>
      <c r="F26" s="6"/>
      <c r="G26" s="4"/>
      <c r="H26" s="4"/>
      <c r="I26" s="4"/>
      <c r="J26" s="4"/>
      <c r="K26" s="4"/>
      <c r="L26" s="4"/>
      <c r="M26" s="4"/>
      <c r="N26" s="4"/>
      <c r="O26" s="4"/>
      <c r="P26" s="4"/>
      <c r="Q26" s="4"/>
      <c r="R26" s="4"/>
      <c r="S26" s="4"/>
      <c r="T26" s="4"/>
      <c r="U26" s="4"/>
      <c r="V26" s="4"/>
      <c r="W26" s="4"/>
      <c r="X26" s="4"/>
      <c r="Y26" s="4"/>
      <c r="Z26" s="4"/>
    </row>
    <row r="27" spans="1:26" ht="13.2">
      <c r="A27" s="7" t="s">
        <v>429</v>
      </c>
      <c r="B27" s="7" t="s">
        <v>430</v>
      </c>
      <c r="C27" s="6"/>
      <c r="D27" s="6"/>
      <c r="E27" s="6"/>
      <c r="F27" s="6"/>
      <c r="G27" s="4"/>
      <c r="H27" s="4"/>
      <c r="I27" s="4"/>
      <c r="J27" s="4"/>
      <c r="K27" s="4"/>
      <c r="L27" s="4"/>
      <c r="M27" s="4"/>
      <c r="N27" s="4"/>
      <c r="O27" s="4"/>
      <c r="P27" s="4"/>
      <c r="Q27" s="4"/>
      <c r="R27" s="4"/>
      <c r="S27" s="4"/>
      <c r="T27" s="4"/>
      <c r="U27" s="4"/>
      <c r="V27" s="4"/>
      <c r="W27" s="4"/>
      <c r="X27" s="4"/>
      <c r="Y27" s="4"/>
      <c r="Z27" s="4"/>
    </row>
    <row r="28" spans="1:26" ht="13.2">
      <c r="A28" s="6"/>
      <c r="B28" s="6"/>
      <c r="C28" s="6"/>
      <c r="D28" s="6"/>
      <c r="E28" s="6"/>
      <c r="F28" s="6"/>
      <c r="G28" s="4"/>
      <c r="H28" s="4"/>
      <c r="I28" s="4"/>
      <c r="J28" s="4"/>
      <c r="K28" s="4"/>
      <c r="L28" s="4"/>
      <c r="M28" s="4"/>
      <c r="N28" s="4"/>
      <c r="O28" s="4"/>
      <c r="P28" s="4"/>
      <c r="Q28" s="4"/>
      <c r="R28" s="4"/>
      <c r="S28" s="4"/>
      <c r="T28" s="4"/>
      <c r="U28" s="4"/>
      <c r="V28" s="4"/>
      <c r="W28" s="4"/>
      <c r="X28" s="4"/>
      <c r="Y28" s="4"/>
      <c r="Z28" s="4"/>
    </row>
    <row r="29" spans="1:26" ht="13.2">
      <c r="A29" s="7" t="s">
        <v>448</v>
      </c>
      <c r="B29" s="7" t="s">
        <v>449</v>
      </c>
      <c r="C29" s="6"/>
      <c r="D29" s="6"/>
      <c r="E29" s="6"/>
      <c r="F29" s="6"/>
      <c r="G29" s="4"/>
      <c r="H29" s="4"/>
      <c r="I29" s="4"/>
      <c r="J29" s="4"/>
      <c r="K29" s="4"/>
      <c r="L29" s="4"/>
      <c r="M29" s="4"/>
      <c r="N29" s="4"/>
      <c r="O29" s="4"/>
      <c r="P29" s="4"/>
      <c r="Q29" s="4"/>
      <c r="R29" s="4"/>
      <c r="S29" s="4"/>
      <c r="T29" s="4"/>
      <c r="U29" s="4"/>
      <c r="V29" s="4"/>
      <c r="W29" s="4"/>
      <c r="X29" s="4"/>
      <c r="Y29" s="4"/>
      <c r="Z29" s="4"/>
    </row>
    <row r="30" spans="1:26" ht="13.2">
      <c r="A30" s="7" t="s">
        <v>28</v>
      </c>
      <c r="B30" s="7" t="s">
        <v>450</v>
      </c>
      <c r="C30" s="6"/>
      <c r="D30" s="6"/>
      <c r="E30" s="6"/>
      <c r="F30" s="6"/>
      <c r="G30" s="4"/>
      <c r="H30" s="4"/>
      <c r="I30" s="4"/>
      <c r="J30" s="4"/>
      <c r="K30" s="4"/>
      <c r="L30" s="4"/>
      <c r="M30" s="4"/>
      <c r="N30" s="4"/>
      <c r="O30" s="4"/>
      <c r="P30" s="4"/>
      <c r="Q30" s="4"/>
      <c r="R30" s="4"/>
      <c r="S30" s="4"/>
      <c r="T30" s="4"/>
      <c r="U30" s="4"/>
      <c r="V30" s="4"/>
      <c r="W30" s="4"/>
      <c r="X30" s="4"/>
      <c r="Y30" s="4"/>
      <c r="Z30" s="4"/>
    </row>
    <row r="31" spans="1:26" ht="13.2">
      <c r="A31" s="7" t="s">
        <v>32</v>
      </c>
      <c r="B31" s="7" t="s">
        <v>437</v>
      </c>
      <c r="C31" s="6"/>
      <c r="D31" s="6"/>
      <c r="E31" s="6"/>
      <c r="F31" s="6"/>
      <c r="G31" s="4"/>
      <c r="H31" s="4"/>
      <c r="I31" s="4"/>
      <c r="J31" s="4"/>
      <c r="K31" s="4"/>
      <c r="L31" s="4"/>
      <c r="M31" s="4"/>
      <c r="N31" s="4"/>
      <c r="O31" s="4"/>
      <c r="P31" s="4"/>
      <c r="Q31" s="4"/>
      <c r="R31" s="4"/>
      <c r="S31" s="4"/>
      <c r="T31" s="4"/>
      <c r="U31" s="4"/>
      <c r="V31" s="4"/>
      <c r="W31" s="4"/>
      <c r="X31" s="4"/>
      <c r="Y31" s="4"/>
      <c r="Z31" s="4"/>
    </row>
    <row r="32" spans="1:26" ht="13.2">
      <c r="A32" s="7" t="s">
        <v>429</v>
      </c>
      <c r="B32" s="7" t="s">
        <v>430</v>
      </c>
      <c r="C32" s="6"/>
      <c r="D32" s="6"/>
      <c r="E32" s="6"/>
      <c r="F32" s="6"/>
      <c r="G32" s="4"/>
      <c r="H32" s="4"/>
      <c r="I32" s="4"/>
      <c r="J32" s="4"/>
      <c r="K32" s="4"/>
      <c r="L32" s="4"/>
      <c r="M32" s="4"/>
      <c r="N32" s="4"/>
      <c r="O32" s="4"/>
      <c r="P32" s="4"/>
      <c r="Q32" s="4"/>
      <c r="R32" s="4"/>
      <c r="S32" s="4"/>
      <c r="T32" s="4"/>
      <c r="U32" s="4"/>
      <c r="V32" s="4"/>
      <c r="W32" s="4"/>
      <c r="X32" s="4"/>
      <c r="Y32" s="4"/>
      <c r="Z32" s="4"/>
    </row>
    <row r="33" spans="1:26" ht="13.2">
      <c r="A33" s="6"/>
      <c r="B33" s="6"/>
      <c r="C33" s="6"/>
      <c r="D33" s="6"/>
      <c r="E33" s="6"/>
      <c r="F33" s="6"/>
      <c r="G33" s="4"/>
      <c r="H33" s="4"/>
      <c r="I33" s="4"/>
      <c r="J33" s="4"/>
      <c r="K33" s="4"/>
      <c r="L33" s="4"/>
      <c r="M33" s="4"/>
      <c r="N33" s="4"/>
      <c r="O33" s="4"/>
      <c r="P33" s="4"/>
      <c r="Q33" s="4"/>
      <c r="R33" s="4"/>
      <c r="S33" s="4"/>
      <c r="T33" s="4"/>
      <c r="U33" s="4"/>
      <c r="V33" s="4"/>
      <c r="W33" s="4"/>
      <c r="X33" s="4"/>
      <c r="Y33" s="4"/>
      <c r="Z33" s="4"/>
    </row>
    <row r="34" spans="1:26" ht="13.2">
      <c r="A34" s="231" t="s">
        <v>34</v>
      </c>
      <c r="B34" s="226"/>
      <c r="C34" s="226"/>
      <c r="D34" s="226"/>
      <c r="E34" s="226"/>
      <c r="F34" s="227"/>
      <c r="G34" s="4"/>
      <c r="H34" s="4"/>
      <c r="I34" s="4"/>
      <c r="J34" s="4"/>
      <c r="K34" s="4"/>
      <c r="L34" s="4"/>
      <c r="M34" s="4"/>
      <c r="N34" s="4"/>
      <c r="O34" s="4"/>
      <c r="P34" s="4"/>
      <c r="Q34" s="4"/>
      <c r="R34" s="4"/>
      <c r="S34" s="4"/>
      <c r="T34" s="4"/>
      <c r="U34" s="4"/>
      <c r="V34" s="4"/>
      <c r="W34" s="4"/>
      <c r="X34" s="4"/>
      <c r="Y34" s="4"/>
      <c r="Z34" s="4"/>
    </row>
    <row r="35" spans="1:26" ht="13.2">
      <c r="A35" s="3" t="s">
        <v>44</v>
      </c>
      <c r="B35" s="3" t="s">
        <v>46</v>
      </c>
      <c r="C35" s="3" t="s">
        <v>47</v>
      </c>
      <c r="D35" s="3" t="s">
        <v>48</v>
      </c>
      <c r="E35" s="3" t="s">
        <v>9</v>
      </c>
      <c r="F35" s="3" t="s">
        <v>52</v>
      </c>
      <c r="G35" s="4"/>
      <c r="H35" s="4"/>
      <c r="I35" s="4"/>
      <c r="J35" s="4"/>
      <c r="K35" s="4"/>
      <c r="L35" s="4"/>
      <c r="M35" s="4"/>
      <c r="N35" s="4"/>
      <c r="O35" s="4"/>
      <c r="P35" s="4"/>
      <c r="Q35" s="4"/>
      <c r="R35" s="4"/>
      <c r="S35" s="4"/>
      <c r="T35" s="4"/>
      <c r="U35" s="4"/>
      <c r="V35" s="4"/>
      <c r="W35" s="4"/>
      <c r="X35" s="4"/>
      <c r="Y35" s="4"/>
      <c r="Z35" s="4"/>
    </row>
    <row r="36" spans="1:26" ht="13.2">
      <c r="A36" s="11">
        <v>1</v>
      </c>
      <c r="B36" s="7" t="s">
        <v>452</v>
      </c>
      <c r="C36" s="11">
        <v>800</v>
      </c>
      <c r="D36" s="11">
        <v>6</v>
      </c>
      <c r="E36" s="11">
        <f t="shared" ref="E36:E37" si="0">C36*D36</f>
        <v>4800</v>
      </c>
      <c r="F36" s="87" t="s">
        <v>453</v>
      </c>
      <c r="G36" s="4"/>
      <c r="H36" s="4"/>
      <c r="I36" s="4"/>
      <c r="J36" s="4"/>
      <c r="K36" s="4"/>
      <c r="L36" s="4"/>
      <c r="M36" s="4"/>
      <c r="N36" s="4"/>
      <c r="O36" s="4"/>
      <c r="P36" s="4"/>
      <c r="Q36" s="4"/>
      <c r="R36" s="4"/>
      <c r="S36" s="4"/>
      <c r="T36" s="4"/>
      <c r="U36" s="4"/>
      <c r="V36" s="4"/>
      <c r="W36" s="4"/>
      <c r="X36" s="4"/>
      <c r="Y36" s="4"/>
      <c r="Z36" s="4"/>
    </row>
    <row r="37" spans="1:26" ht="13.2">
      <c r="A37" s="11">
        <v>2</v>
      </c>
      <c r="B37" s="7" t="s">
        <v>455</v>
      </c>
      <c r="C37" s="11">
        <v>800</v>
      </c>
      <c r="D37" s="11">
        <v>3</v>
      </c>
      <c r="E37" s="11">
        <f t="shared" si="0"/>
        <v>2400</v>
      </c>
      <c r="F37" s="87" t="s">
        <v>456</v>
      </c>
      <c r="G37" s="4"/>
      <c r="H37" s="4"/>
      <c r="I37" s="4"/>
      <c r="J37" s="4"/>
      <c r="K37" s="4"/>
      <c r="L37" s="4"/>
      <c r="M37" s="4"/>
      <c r="N37" s="4"/>
      <c r="O37" s="4"/>
      <c r="P37" s="4"/>
      <c r="Q37" s="4"/>
      <c r="R37" s="4"/>
      <c r="S37" s="4"/>
      <c r="T37" s="4"/>
      <c r="U37" s="4"/>
      <c r="V37" s="4"/>
      <c r="W37" s="4"/>
      <c r="X37" s="4"/>
      <c r="Y37" s="4"/>
      <c r="Z37" s="4"/>
    </row>
    <row r="38" spans="1:26" ht="13.2">
      <c r="A38" s="6"/>
      <c r="B38" s="6"/>
      <c r="C38" s="6"/>
      <c r="D38" s="3" t="s">
        <v>5</v>
      </c>
      <c r="E38" s="47">
        <f>SUM(E36:E37)</f>
        <v>7200</v>
      </c>
      <c r="F38" s="6"/>
      <c r="G38" s="4"/>
      <c r="H38" s="4"/>
      <c r="I38" s="4"/>
      <c r="J38" s="4"/>
      <c r="K38" s="4"/>
      <c r="L38" s="4"/>
      <c r="M38" s="4"/>
      <c r="N38" s="4"/>
      <c r="O38" s="4"/>
      <c r="P38" s="4"/>
      <c r="Q38" s="4"/>
      <c r="R38" s="4"/>
      <c r="S38" s="4"/>
      <c r="T38" s="4"/>
      <c r="U38" s="4"/>
      <c r="V38" s="4"/>
      <c r="W38" s="4"/>
      <c r="X38" s="4"/>
      <c r="Y38" s="4"/>
      <c r="Z38" s="4"/>
    </row>
    <row r="39" spans="1:26" ht="13.2">
      <c r="A39" s="49"/>
      <c r="B39" s="49"/>
      <c r="C39" s="49"/>
      <c r="D39" s="49"/>
      <c r="E39" s="49"/>
      <c r="F39" s="49"/>
      <c r="G39" s="33"/>
      <c r="H39" s="33"/>
      <c r="I39" s="33"/>
      <c r="J39" s="33"/>
      <c r="K39" s="33"/>
      <c r="L39" s="33"/>
      <c r="M39" s="33"/>
      <c r="N39" s="33"/>
      <c r="O39" s="33"/>
      <c r="P39" s="33"/>
      <c r="Q39" s="33"/>
      <c r="R39" s="33"/>
      <c r="S39" s="33"/>
      <c r="T39" s="33"/>
      <c r="U39" s="33"/>
      <c r="V39" s="33"/>
      <c r="W39" s="33"/>
      <c r="X39" s="33"/>
      <c r="Y39" s="33"/>
      <c r="Z39" s="33"/>
    </row>
    <row r="40" spans="1:26" ht="13.2">
      <c r="A40" s="231" t="s">
        <v>103</v>
      </c>
      <c r="B40" s="226"/>
      <c r="C40" s="226"/>
      <c r="D40" s="226"/>
      <c r="E40" s="226"/>
      <c r="F40" s="227"/>
      <c r="G40" s="4"/>
      <c r="H40" s="4"/>
      <c r="I40" s="4"/>
      <c r="J40" s="4"/>
      <c r="K40" s="4"/>
      <c r="L40" s="4"/>
      <c r="M40" s="4"/>
      <c r="N40" s="4"/>
      <c r="O40" s="4"/>
      <c r="P40" s="4"/>
      <c r="Q40" s="4"/>
      <c r="R40" s="4"/>
      <c r="S40" s="4"/>
      <c r="T40" s="4"/>
      <c r="U40" s="4"/>
      <c r="V40" s="4"/>
      <c r="W40" s="4"/>
      <c r="X40" s="4"/>
      <c r="Y40" s="4"/>
      <c r="Z40" s="4"/>
    </row>
    <row r="41" spans="1:26" ht="13.2">
      <c r="A41" s="3" t="s">
        <v>44</v>
      </c>
      <c r="B41" s="3" t="s">
        <v>46</v>
      </c>
      <c r="C41" s="3" t="s">
        <v>47</v>
      </c>
      <c r="D41" s="3" t="s">
        <v>48</v>
      </c>
      <c r="E41" s="3" t="s">
        <v>9</v>
      </c>
      <c r="F41" s="3" t="s">
        <v>52</v>
      </c>
      <c r="G41" s="4"/>
      <c r="H41" s="4"/>
      <c r="I41" s="4"/>
      <c r="J41" s="4"/>
      <c r="K41" s="4"/>
      <c r="L41" s="4"/>
      <c r="M41" s="4"/>
      <c r="N41" s="4"/>
      <c r="O41" s="4"/>
      <c r="P41" s="4"/>
      <c r="Q41" s="4"/>
      <c r="R41" s="4"/>
      <c r="S41" s="4"/>
      <c r="T41" s="4"/>
      <c r="U41" s="4"/>
      <c r="V41" s="4"/>
      <c r="W41" s="4"/>
      <c r="X41" s="4"/>
      <c r="Y41" s="4"/>
      <c r="Z41" s="4"/>
    </row>
    <row r="42" spans="1:26" ht="13.2">
      <c r="A42" s="11">
        <v>1</v>
      </c>
      <c r="B42" s="7" t="s">
        <v>461</v>
      </c>
      <c r="C42" s="11">
        <v>6495</v>
      </c>
      <c r="D42" s="11">
        <v>4</v>
      </c>
      <c r="E42" s="11">
        <f>C42*D42</f>
        <v>25980</v>
      </c>
      <c r="F42" s="88" t="s">
        <v>462</v>
      </c>
      <c r="G42" s="89" t="s">
        <v>464</v>
      </c>
      <c r="H42" s="4"/>
      <c r="I42" s="4"/>
      <c r="J42" s="4"/>
      <c r="K42" s="4"/>
      <c r="L42" s="4"/>
      <c r="M42" s="4"/>
      <c r="N42" s="4"/>
      <c r="O42" s="4"/>
      <c r="P42" s="4"/>
      <c r="Q42" s="4"/>
      <c r="R42" s="4"/>
      <c r="S42" s="4"/>
      <c r="T42" s="4"/>
      <c r="U42" s="4"/>
      <c r="V42" s="4"/>
      <c r="W42" s="4"/>
      <c r="X42" s="4"/>
      <c r="Y42" s="4"/>
      <c r="Z42" s="4"/>
    </row>
    <row r="43" spans="1:26" ht="13.2">
      <c r="A43" s="6"/>
      <c r="B43" s="6"/>
      <c r="C43" s="6"/>
      <c r="D43" s="3" t="s">
        <v>5</v>
      </c>
      <c r="E43" s="47">
        <f>SUM(E42)</f>
        <v>25980</v>
      </c>
      <c r="F43" s="6"/>
      <c r="G43" s="4"/>
      <c r="H43" s="4"/>
      <c r="I43" s="4"/>
      <c r="J43" s="4"/>
      <c r="K43" s="4"/>
      <c r="L43" s="4"/>
      <c r="M43" s="4"/>
      <c r="N43" s="4"/>
      <c r="O43" s="4"/>
      <c r="P43" s="4"/>
      <c r="Q43" s="4"/>
      <c r="R43" s="4"/>
      <c r="S43" s="4"/>
      <c r="T43" s="4"/>
      <c r="U43" s="4"/>
      <c r="V43" s="4"/>
      <c r="W43" s="4"/>
      <c r="X43" s="4"/>
      <c r="Y43" s="4"/>
      <c r="Z43" s="4"/>
    </row>
    <row r="44" spans="1:26" ht="13.2">
      <c r="A44" s="3" t="s">
        <v>467</v>
      </c>
      <c r="B44" s="6"/>
      <c r="C44" s="6"/>
      <c r="D44" s="13"/>
      <c r="E44" s="73"/>
      <c r="F44" s="6"/>
      <c r="G44" s="4"/>
      <c r="H44" s="4"/>
      <c r="I44" s="4"/>
      <c r="J44" s="4"/>
      <c r="K44" s="4"/>
      <c r="L44" s="4"/>
      <c r="M44" s="4"/>
      <c r="N44" s="4"/>
      <c r="O44" s="4"/>
      <c r="P44" s="4"/>
      <c r="Q44" s="4"/>
      <c r="R44" s="4"/>
      <c r="S44" s="4"/>
      <c r="T44" s="4"/>
      <c r="U44" s="4"/>
      <c r="V44" s="4"/>
      <c r="W44" s="4"/>
      <c r="X44" s="4"/>
      <c r="Y44" s="4"/>
      <c r="Z44" s="4"/>
    </row>
    <row r="45" spans="1:26" ht="13.2">
      <c r="A45" s="8" t="s">
        <v>44</v>
      </c>
      <c r="B45" s="8" t="s">
        <v>46</v>
      </c>
      <c r="C45" s="8" t="s">
        <v>47</v>
      </c>
      <c r="D45" s="8" t="s">
        <v>48</v>
      </c>
      <c r="E45" s="8" t="s">
        <v>9</v>
      </c>
      <c r="F45" s="8" t="s">
        <v>52</v>
      </c>
      <c r="G45" s="4"/>
      <c r="H45" s="4"/>
      <c r="I45" s="4"/>
      <c r="J45" s="4"/>
      <c r="K45" s="4"/>
      <c r="L45" s="4"/>
      <c r="M45" s="4"/>
      <c r="N45" s="4"/>
      <c r="O45" s="4"/>
      <c r="P45" s="4"/>
      <c r="Q45" s="4"/>
      <c r="R45" s="4"/>
      <c r="S45" s="4"/>
      <c r="T45" s="4"/>
      <c r="U45" s="4"/>
      <c r="V45" s="4"/>
      <c r="W45" s="4"/>
      <c r="X45" s="4"/>
      <c r="Y45" s="4"/>
      <c r="Z45" s="4"/>
    </row>
    <row r="46" spans="1:26" ht="13.2">
      <c r="A46" s="90">
        <v>1</v>
      </c>
      <c r="B46" s="91" t="s">
        <v>469</v>
      </c>
      <c r="C46" s="92">
        <v>1159</v>
      </c>
      <c r="D46" s="90">
        <v>1</v>
      </c>
      <c r="E46" s="92">
        <f t="shared" ref="E46:E54" si="1">C46*D46</f>
        <v>1159</v>
      </c>
      <c r="F46" s="93" t="s">
        <v>470</v>
      </c>
      <c r="G46" s="94"/>
      <c r="H46" s="4"/>
      <c r="I46" s="4"/>
      <c r="J46" s="4"/>
      <c r="K46" s="4"/>
      <c r="L46" s="4"/>
      <c r="M46" s="4"/>
      <c r="N46" s="4"/>
      <c r="O46" s="4"/>
      <c r="P46" s="4"/>
      <c r="Q46" s="4"/>
      <c r="R46" s="4"/>
      <c r="S46" s="4"/>
      <c r="T46" s="4"/>
      <c r="U46" s="4"/>
      <c r="V46" s="4"/>
      <c r="W46" s="4"/>
      <c r="X46" s="4"/>
      <c r="Y46" s="4"/>
      <c r="Z46" s="4"/>
    </row>
    <row r="47" spans="1:26" ht="13.2">
      <c r="A47" s="90">
        <v>2</v>
      </c>
      <c r="B47" s="91" t="s">
        <v>472</v>
      </c>
      <c r="C47" s="90">
        <v>399</v>
      </c>
      <c r="D47" s="90">
        <v>2</v>
      </c>
      <c r="E47" s="92">
        <f t="shared" si="1"/>
        <v>798</v>
      </c>
      <c r="F47" s="95" t="s">
        <v>473</v>
      </c>
      <c r="G47" s="94"/>
      <c r="H47" s="4"/>
      <c r="I47" s="4"/>
      <c r="J47" s="4"/>
      <c r="K47" s="4"/>
      <c r="L47" s="4"/>
      <c r="M47" s="4"/>
      <c r="N47" s="4"/>
      <c r="O47" s="4"/>
      <c r="P47" s="4"/>
      <c r="Q47" s="4"/>
      <c r="R47" s="4"/>
      <c r="S47" s="4"/>
      <c r="T47" s="4"/>
      <c r="U47" s="4"/>
      <c r="V47" s="4"/>
      <c r="W47" s="4"/>
      <c r="X47" s="4"/>
      <c r="Y47" s="4"/>
      <c r="Z47" s="4"/>
    </row>
    <row r="48" spans="1:26" ht="13.2">
      <c r="A48" s="90">
        <v>3</v>
      </c>
      <c r="B48" s="91" t="s">
        <v>475</v>
      </c>
      <c r="C48" s="92">
        <v>150</v>
      </c>
      <c r="D48" s="90">
        <v>2</v>
      </c>
      <c r="E48" s="92">
        <f t="shared" si="1"/>
        <v>300</v>
      </c>
      <c r="F48" s="95" t="s">
        <v>476</v>
      </c>
      <c r="G48" s="94"/>
      <c r="H48" s="4"/>
      <c r="I48" s="4"/>
      <c r="J48" s="4"/>
      <c r="K48" s="4"/>
      <c r="L48" s="4"/>
      <c r="M48" s="4"/>
      <c r="N48" s="4"/>
      <c r="O48" s="4"/>
      <c r="P48" s="4"/>
      <c r="Q48" s="4"/>
      <c r="R48" s="4"/>
      <c r="S48" s="4"/>
      <c r="T48" s="4"/>
      <c r="U48" s="4"/>
      <c r="V48" s="4"/>
      <c r="W48" s="4"/>
      <c r="X48" s="4"/>
      <c r="Y48" s="4"/>
      <c r="Z48" s="4"/>
    </row>
    <row r="49" spans="1:26" ht="13.2">
      <c r="A49" s="90">
        <v>4</v>
      </c>
      <c r="B49" s="91" t="s">
        <v>480</v>
      </c>
      <c r="C49" s="92">
        <v>125</v>
      </c>
      <c r="D49" s="90">
        <v>4</v>
      </c>
      <c r="E49" s="92">
        <f t="shared" si="1"/>
        <v>500</v>
      </c>
      <c r="F49" s="95" t="s">
        <v>481</v>
      </c>
      <c r="G49" s="94"/>
      <c r="H49" s="4"/>
      <c r="I49" s="4"/>
      <c r="J49" s="4"/>
      <c r="K49" s="4"/>
      <c r="L49" s="4"/>
      <c r="M49" s="4"/>
      <c r="N49" s="4"/>
      <c r="O49" s="4"/>
      <c r="P49" s="4"/>
      <c r="Q49" s="4"/>
      <c r="R49" s="4"/>
      <c r="S49" s="4"/>
      <c r="T49" s="4"/>
      <c r="U49" s="4"/>
      <c r="V49" s="4"/>
      <c r="W49" s="4"/>
      <c r="X49" s="4"/>
      <c r="Y49" s="4"/>
      <c r="Z49" s="4"/>
    </row>
    <row r="50" spans="1:26" ht="13.2">
      <c r="A50" s="90">
        <v>5</v>
      </c>
      <c r="B50" s="91" t="s">
        <v>483</v>
      </c>
      <c r="C50" s="90">
        <v>40</v>
      </c>
      <c r="D50" s="90">
        <v>3</v>
      </c>
      <c r="E50" s="92">
        <f t="shared" si="1"/>
        <v>120</v>
      </c>
      <c r="F50" s="95" t="s">
        <v>484</v>
      </c>
      <c r="G50" s="94"/>
      <c r="H50" s="4"/>
      <c r="I50" s="4"/>
      <c r="J50" s="4"/>
      <c r="K50" s="4"/>
      <c r="L50" s="4"/>
      <c r="M50" s="4"/>
      <c r="N50" s="4"/>
      <c r="O50" s="4"/>
      <c r="P50" s="4"/>
      <c r="Q50" s="4"/>
      <c r="R50" s="4"/>
      <c r="S50" s="4"/>
      <c r="T50" s="4"/>
      <c r="U50" s="4"/>
      <c r="V50" s="4"/>
      <c r="W50" s="4"/>
      <c r="X50" s="4"/>
      <c r="Y50" s="4"/>
      <c r="Z50" s="4"/>
    </row>
    <row r="51" spans="1:26" ht="13.2">
      <c r="A51" s="90">
        <v>6</v>
      </c>
      <c r="B51" s="91" t="s">
        <v>486</v>
      </c>
      <c r="C51" s="90">
        <v>100</v>
      </c>
      <c r="D51" s="90">
        <v>1</v>
      </c>
      <c r="E51" s="92">
        <f t="shared" si="1"/>
        <v>100</v>
      </c>
      <c r="F51" s="96" t="s">
        <v>488</v>
      </c>
      <c r="G51" s="94"/>
      <c r="H51" s="4"/>
      <c r="I51" s="4"/>
      <c r="J51" s="4"/>
      <c r="K51" s="4"/>
      <c r="L51" s="4"/>
      <c r="M51" s="4"/>
      <c r="N51" s="4"/>
      <c r="O51" s="4"/>
      <c r="P51" s="4"/>
      <c r="Q51" s="4"/>
      <c r="R51" s="4"/>
      <c r="S51" s="4"/>
      <c r="T51" s="4"/>
      <c r="U51" s="4"/>
      <c r="V51" s="4"/>
      <c r="W51" s="4"/>
      <c r="X51" s="4"/>
      <c r="Y51" s="4"/>
      <c r="Z51" s="4"/>
    </row>
    <row r="52" spans="1:26" ht="13.2">
      <c r="A52" s="90">
        <v>7</v>
      </c>
      <c r="B52" s="97" t="s">
        <v>490</v>
      </c>
      <c r="C52" s="90">
        <v>400</v>
      </c>
      <c r="D52" s="90">
        <v>1</v>
      </c>
      <c r="E52" s="92">
        <f t="shared" si="1"/>
        <v>400</v>
      </c>
      <c r="F52" s="95" t="s">
        <v>491</v>
      </c>
      <c r="G52" s="94"/>
      <c r="H52" s="4"/>
      <c r="I52" s="4"/>
      <c r="J52" s="4"/>
      <c r="K52" s="4"/>
      <c r="L52" s="4"/>
      <c r="M52" s="4"/>
      <c r="N52" s="4"/>
      <c r="O52" s="4"/>
      <c r="P52" s="4"/>
      <c r="Q52" s="4"/>
      <c r="R52" s="4"/>
      <c r="S52" s="4"/>
      <c r="T52" s="4"/>
      <c r="U52" s="4"/>
      <c r="V52" s="4"/>
      <c r="W52" s="4"/>
      <c r="X52" s="4"/>
      <c r="Y52" s="4"/>
      <c r="Z52" s="4"/>
    </row>
    <row r="53" spans="1:26" ht="13.2">
      <c r="A53" s="90">
        <v>8</v>
      </c>
      <c r="B53" s="91" t="s">
        <v>493</v>
      </c>
      <c r="C53" s="90">
        <v>28</v>
      </c>
      <c r="D53" s="90">
        <v>5</v>
      </c>
      <c r="E53" s="92">
        <f t="shared" si="1"/>
        <v>140</v>
      </c>
      <c r="F53" s="95" t="s">
        <v>494</v>
      </c>
      <c r="G53" s="94"/>
      <c r="H53" s="4"/>
      <c r="I53" s="4"/>
      <c r="J53" s="4"/>
      <c r="K53" s="4"/>
      <c r="L53" s="4"/>
      <c r="M53" s="4"/>
      <c r="N53" s="4"/>
      <c r="O53" s="4"/>
      <c r="P53" s="4"/>
      <c r="Q53" s="4"/>
      <c r="R53" s="4"/>
      <c r="S53" s="4"/>
      <c r="T53" s="4"/>
      <c r="U53" s="4"/>
      <c r="V53" s="4"/>
      <c r="W53" s="4"/>
      <c r="X53" s="4"/>
      <c r="Y53" s="4"/>
      <c r="Z53" s="4"/>
    </row>
    <row r="54" spans="1:26" ht="13.2">
      <c r="A54" s="90">
        <v>9</v>
      </c>
      <c r="B54" s="91" t="s">
        <v>495</v>
      </c>
      <c r="C54" s="90">
        <v>1000</v>
      </c>
      <c r="D54" s="90">
        <v>1</v>
      </c>
      <c r="E54" s="92">
        <f t="shared" si="1"/>
        <v>1000</v>
      </c>
      <c r="F54" s="91"/>
      <c r="G54" s="94"/>
      <c r="H54" s="4"/>
      <c r="I54" s="4"/>
      <c r="J54" s="4"/>
      <c r="K54" s="4"/>
      <c r="L54" s="4"/>
      <c r="M54" s="4"/>
      <c r="N54" s="4"/>
      <c r="O54" s="4"/>
      <c r="P54" s="4"/>
      <c r="Q54" s="4"/>
      <c r="R54" s="4"/>
      <c r="S54" s="4"/>
      <c r="T54" s="4"/>
      <c r="U54" s="4"/>
      <c r="V54" s="4"/>
      <c r="W54" s="4"/>
      <c r="X54" s="4"/>
      <c r="Y54" s="4"/>
      <c r="Z54" s="4"/>
    </row>
    <row r="55" spans="1:26" ht="13.2">
      <c r="A55" s="11">
        <v>10</v>
      </c>
      <c r="B55" s="97" t="s">
        <v>496</v>
      </c>
      <c r="C55" s="11">
        <v>65</v>
      </c>
      <c r="D55" s="11">
        <v>1</v>
      </c>
      <c r="E55" s="98">
        <v>65</v>
      </c>
      <c r="F55" s="99" t="s">
        <v>497</v>
      </c>
      <c r="G55" s="4"/>
      <c r="H55" s="4"/>
      <c r="I55" s="4"/>
      <c r="J55" s="4"/>
      <c r="K55" s="4"/>
      <c r="L55" s="4"/>
      <c r="M55" s="4"/>
      <c r="N55" s="4"/>
      <c r="O55" s="4"/>
      <c r="P55" s="4"/>
      <c r="Q55" s="4"/>
      <c r="R55" s="4"/>
      <c r="S55" s="4"/>
      <c r="T55" s="4"/>
      <c r="U55" s="4"/>
      <c r="V55" s="4"/>
      <c r="W55" s="4"/>
      <c r="X55" s="4"/>
      <c r="Y55" s="4"/>
      <c r="Z55" s="4"/>
    </row>
    <row r="56" spans="1:26" ht="13.2">
      <c r="A56" s="11">
        <v>11</v>
      </c>
      <c r="B56" s="97" t="s">
        <v>499</v>
      </c>
      <c r="C56" s="11">
        <v>479</v>
      </c>
      <c r="D56" s="11">
        <v>2</v>
      </c>
      <c r="E56" s="98">
        <f>C56*D56</f>
        <v>958</v>
      </c>
      <c r="F56" s="99" t="s">
        <v>497</v>
      </c>
      <c r="G56" s="4"/>
      <c r="H56" s="4"/>
      <c r="I56" s="4"/>
      <c r="J56" s="4"/>
      <c r="K56" s="4"/>
      <c r="L56" s="4"/>
      <c r="M56" s="4"/>
      <c r="N56" s="4"/>
      <c r="O56" s="4"/>
      <c r="P56" s="4"/>
      <c r="Q56" s="4"/>
      <c r="R56" s="4"/>
      <c r="S56" s="4"/>
      <c r="T56" s="4"/>
      <c r="U56" s="4"/>
      <c r="V56" s="4"/>
      <c r="W56" s="4"/>
      <c r="X56" s="4"/>
      <c r="Y56" s="4"/>
      <c r="Z56" s="4"/>
    </row>
    <row r="57" spans="1:26" ht="13.2">
      <c r="A57" s="11">
        <v>12</v>
      </c>
      <c r="B57" s="97" t="s">
        <v>503</v>
      </c>
      <c r="C57" s="11">
        <v>299</v>
      </c>
      <c r="D57" s="11">
        <v>1</v>
      </c>
      <c r="E57" s="98">
        <v>299</v>
      </c>
      <c r="F57" s="99" t="s">
        <v>497</v>
      </c>
      <c r="G57" s="4"/>
      <c r="H57" s="4"/>
      <c r="I57" s="4"/>
      <c r="J57" s="4"/>
      <c r="K57" s="4"/>
      <c r="L57" s="4"/>
      <c r="M57" s="4"/>
      <c r="N57" s="4"/>
      <c r="O57" s="4"/>
      <c r="P57" s="4"/>
      <c r="Q57" s="4"/>
      <c r="R57" s="4"/>
      <c r="S57" s="4"/>
      <c r="T57" s="4"/>
      <c r="U57" s="4"/>
      <c r="V57" s="4"/>
      <c r="W57" s="4"/>
      <c r="X57" s="4"/>
      <c r="Y57" s="4"/>
      <c r="Z57" s="4"/>
    </row>
    <row r="58" spans="1:26" ht="13.2">
      <c r="A58" s="11">
        <v>13</v>
      </c>
      <c r="B58" s="97" t="s">
        <v>504</v>
      </c>
      <c r="C58" s="11">
        <v>127</v>
      </c>
      <c r="D58" s="11">
        <v>1</v>
      </c>
      <c r="E58" s="98">
        <v>127</v>
      </c>
      <c r="F58" s="99" t="s">
        <v>497</v>
      </c>
      <c r="G58" s="4"/>
      <c r="H58" s="4"/>
      <c r="I58" s="4"/>
      <c r="J58" s="4"/>
      <c r="K58" s="4"/>
      <c r="L58" s="4"/>
      <c r="M58" s="4"/>
      <c r="N58" s="4"/>
      <c r="O58" s="4"/>
      <c r="P58" s="4"/>
      <c r="Q58" s="4"/>
      <c r="R58" s="4"/>
      <c r="S58" s="4"/>
      <c r="T58" s="4"/>
      <c r="U58" s="4"/>
      <c r="V58" s="4"/>
      <c r="W58" s="4"/>
      <c r="X58" s="4"/>
      <c r="Y58" s="4"/>
      <c r="Z58" s="4"/>
    </row>
    <row r="59" spans="1:26" ht="13.2">
      <c r="A59" s="79">
        <v>14</v>
      </c>
      <c r="B59" s="97" t="s">
        <v>506</v>
      </c>
      <c r="C59" s="98">
        <v>169</v>
      </c>
      <c r="D59" s="11">
        <v>1</v>
      </c>
      <c r="E59" s="98">
        <v>169</v>
      </c>
      <c r="F59" s="100" t="s">
        <v>497</v>
      </c>
      <c r="G59" s="4"/>
      <c r="H59" s="4"/>
      <c r="I59" s="4"/>
      <c r="J59" s="4"/>
      <c r="K59" s="4"/>
      <c r="L59" s="4"/>
      <c r="M59" s="4"/>
      <c r="N59" s="4"/>
      <c r="O59" s="4"/>
      <c r="P59" s="4"/>
      <c r="Q59" s="4"/>
      <c r="R59" s="4"/>
      <c r="S59" s="4"/>
      <c r="T59" s="4"/>
      <c r="U59" s="4"/>
      <c r="V59" s="4"/>
      <c r="W59" s="4"/>
      <c r="X59" s="4"/>
      <c r="Y59" s="4"/>
      <c r="Z59" s="4"/>
    </row>
    <row r="60" spans="1:26" ht="13.2">
      <c r="A60" s="79">
        <v>15</v>
      </c>
      <c r="B60" s="97" t="s">
        <v>508</v>
      </c>
      <c r="C60" s="98">
        <v>169</v>
      </c>
      <c r="D60" s="11">
        <v>1</v>
      </c>
      <c r="E60" s="98">
        <v>169</v>
      </c>
      <c r="F60" s="100" t="s">
        <v>497</v>
      </c>
      <c r="G60" s="4"/>
      <c r="H60" s="4"/>
      <c r="I60" s="4"/>
      <c r="J60" s="4"/>
      <c r="K60" s="4"/>
      <c r="L60" s="4"/>
      <c r="M60" s="4"/>
      <c r="N60" s="4"/>
      <c r="O60" s="4"/>
      <c r="P60" s="4"/>
      <c r="Q60" s="4"/>
      <c r="R60" s="4"/>
      <c r="S60" s="4"/>
      <c r="T60" s="4"/>
      <c r="U60" s="4"/>
      <c r="V60" s="4"/>
      <c r="W60" s="4"/>
      <c r="X60" s="4"/>
      <c r="Y60" s="4"/>
      <c r="Z60" s="4"/>
    </row>
    <row r="61" spans="1:26" ht="13.2">
      <c r="A61" s="11">
        <v>16</v>
      </c>
      <c r="B61" s="97" t="s">
        <v>512</v>
      </c>
      <c r="C61" s="98">
        <v>316</v>
      </c>
      <c r="D61" s="11">
        <v>1</v>
      </c>
      <c r="E61" s="98">
        <v>316</v>
      </c>
      <c r="F61" s="100" t="s">
        <v>497</v>
      </c>
      <c r="G61" s="101"/>
      <c r="H61" s="101"/>
      <c r="I61" s="101"/>
      <c r="J61" s="101"/>
      <c r="K61" s="101"/>
      <c r="L61" s="101"/>
      <c r="M61" s="101"/>
      <c r="N61" s="101"/>
      <c r="O61" s="101"/>
      <c r="P61" s="101"/>
      <c r="Q61" s="101"/>
      <c r="R61" s="101"/>
      <c r="S61" s="101"/>
      <c r="T61" s="101"/>
      <c r="U61" s="101"/>
      <c r="V61" s="101"/>
      <c r="W61" s="101"/>
      <c r="X61" s="101"/>
      <c r="Y61" s="101"/>
      <c r="Z61" s="101"/>
    </row>
    <row r="62" spans="1:26" ht="13.2">
      <c r="A62" s="79">
        <v>17</v>
      </c>
      <c r="B62" s="97" t="s">
        <v>514</v>
      </c>
      <c r="C62" s="98">
        <v>209</v>
      </c>
      <c r="D62" s="11">
        <v>1</v>
      </c>
      <c r="E62" s="98">
        <v>209</v>
      </c>
      <c r="F62" s="100" t="s">
        <v>497</v>
      </c>
      <c r="G62" s="101"/>
      <c r="H62" s="101"/>
      <c r="I62" s="101"/>
      <c r="J62" s="101"/>
      <c r="K62" s="101"/>
      <c r="L62" s="101"/>
      <c r="M62" s="101"/>
      <c r="N62" s="101"/>
      <c r="O62" s="101"/>
      <c r="P62" s="101"/>
      <c r="Q62" s="101"/>
      <c r="R62" s="101"/>
      <c r="S62" s="101"/>
      <c r="T62" s="101"/>
      <c r="U62" s="101"/>
      <c r="V62" s="101"/>
      <c r="W62" s="101"/>
      <c r="X62" s="101"/>
      <c r="Y62" s="101"/>
      <c r="Z62" s="101"/>
    </row>
    <row r="63" spans="1:26" ht="13.2">
      <c r="A63" s="79">
        <v>18</v>
      </c>
      <c r="B63" s="97" t="s">
        <v>516</v>
      </c>
      <c r="C63" s="98">
        <v>261</v>
      </c>
      <c r="D63" s="11">
        <v>1</v>
      </c>
      <c r="E63" s="98">
        <v>261</v>
      </c>
      <c r="F63" s="100" t="s">
        <v>497</v>
      </c>
      <c r="G63" s="101"/>
      <c r="H63" s="101"/>
      <c r="I63" s="101"/>
      <c r="J63" s="101"/>
      <c r="K63" s="101"/>
      <c r="L63" s="101"/>
      <c r="M63" s="101"/>
      <c r="N63" s="101"/>
      <c r="O63" s="101"/>
      <c r="P63" s="101"/>
      <c r="Q63" s="101"/>
      <c r="R63" s="101"/>
      <c r="S63" s="101"/>
      <c r="T63" s="101"/>
      <c r="U63" s="101"/>
      <c r="V63" s="101"/>
      <c r="W63" s="101"/>
      <c r="X63" s="101"/>
      <c r="Y63" s="101"/>
      <c r="Z63" s="101"/>
    </row>
    <row r="64" spans="1:26" ht="13.2">
      <c r="A64" s="79">
        <v>19</v>
      </c>
      <c r="B64" s="97" t="s">
        <v>519</v>
      </c>
      <c r="C64" s="98">
        <v>109</v>
      </c>
      <c r="D64" s="11">
        <v>1</v>
      </c>
      <c r="E64" s="98">
        <v>109</v>
      </c>
      <c r="F64" s="100" t="s">
        <v>497</v>
      </c>
      <c r="G64" s="101"/>
      <c r="H64" s="101"/>
      <c r="I64" s="101"/>
      <c r="J64" s="101"/>
      <c r="K64" s="101"/>
      <c r="L64" s="101"/>
      <c r="M64" s="101"/>
      <c r="N64" s="101"/>
      <c r="O64" s="101"/>
      <c r="P64" s="101"/>
      <c r="Q64" s="101"/>
      <c r="R64" s="101"/>
      <c r="S64" s="101"/>
      <c r="T64" s="101"/>
      <c r="U64" s="101"/>
      <c r="V64" s="101"/>
      <c r="W64" s="101"/>
      <c r="X64" s="101"/>
      <c r="Y64" s="101"/>
      <c r="Z64" s="101"/>
    </row>
    <row r="65" spans="1:26" ht="13.2">
      <c r="A65" s="79">
        <v>20</v>
      </c>
      <c r="B65" s="97" t="s">
        <v>520</v>
      </c>
      <c r="C65" s="98">
        <v>99</v>
      </c>
      <c r="D65" s="11">
        <v>1</v>
      </c>
      <c r="E65" s="98">
        <v>99</v>
      </c>
      <c r="F65" s="100" t="s">
        <v>497</v>
      </c>
      <c r="G65" s="101"/>
      <c r="H65" s="101"/>
      <c r="I65" s="101"/>
      <c r="J65" s="101"/>
      <c r="K65" s="101"/>
      <c r="L65" s="101"/>
      <c r="M65" s="101"/>
      <c r="N65" s="101"/>
      <c r="O65" s="101"/>
      <c r="P65" s="101"/>
      <c r="Q65" s="101"/>
      <c r="R65" s="101"/>
      <c r="S65" s="101"/>
      <c r="T65" s="101"/>
      <c r="U65" s="101"/>
      <c r="V65" s="101"/>
      <c r="W65" s="101"/>
      <c r="X65" s="101"/>
      <c r="Y65" s="101"/>
      <c r="Z65" s="101"/>
    </row>
    <row r="66" spans="1:26" ht="13.2">
      <c r="A66" s="79">
        <v>21</v>
      </c>
      <c r="B66" s="97" t="s">
        <v>522</v>
      </c>
      <c r="C66" s="98">
        <v>79</v>
      </c>
      <c r="D66" s="11">
        <v>1</v>
      </c>
      <c r="E66" s="98">
        <v>79</v>
      </c>
      <c r="F66" s="100" t="s">
        <v>497</v>
      </c>
      <c r="G66" s="101"/>
      <c r="H66" s="101"/>
      <c r="I66" s="101"/>
      <c r="J66" s="101"/>
      <c r="K66" s="101"/>
      <c r="L66" s="101"/>
      <c r="M66" s="101"/>
      <c r="N66" s="101"/>
      <c r="O66" s="101"/>
      <c r="P66" s="101"/>
      <c r="Q66" s="101"/>
      <c r="R66" s="101"/>
      <c r="S66" s="101"/>
      <c r="T66" s="101"/>
      <c r="U66" s="101"/>
      <c r="V66" s="101"/>
      <c r="W66" s="101"/>
      <c r="X66" s="101"/>
      <c r="Y66" s="101"/>
      <c r="Z66" s="101"/>
    </row>
    <row r="67" spans="1:26" ht="13.2">
      <c r="A67" s="79">
        <v>22</v>
      </c>
      <c r="B67" s="97" t="s">
        <v>524</v>
      </c>
      <c r="C67" s="98">
        <v>49</v>
      </c>
      <c r="D67" s="11">
        <v>1</v>
      </c>
      <c r="E67" s="98">
        <v>49</v>
      </c>
      <c r="F67" s="100" t="s">
        <v>497</v>
      </c>
      <c r="G67" s="101"/>
      <c r="H67" s="101"/>
      <c r="I67" s="101"/>
      <c r="J67" s="101"/>
      <c r="K67" s="101"/>
      <c r="L67" s="101"/>
      <c r="M67" s="101"/>
      <c r="N67" s="101"/>
      <c r="O67" s="101"/>
      <c r="P67" s="101"/>
      <c r="Q67" s="101"/>
      <c r="R67" s="101"/>
      <c r="S67" s="101"/>
      <c r="T67" s="101"/>
      <c r="U67" s="101"/>
      <c r="V67" s="101"/>
      <c r="W67" s="101"/>
      <c r="X67" s="101"/>
      <c r="Y67" s="101"/>
      <c r="Z67" s="101"/>
    </row>
    <row r="68" spans="1:26" ht="13.2">
      <c r="A68" s="79">
        <v>23</v>
      </c>
      <c r="B68" s="97" t="s">
        <v>526</v>
      </c>
      <c r="C68" s="98">
        <v>59</v>
      </c>
      <c r="D68" s="11">
        <v>1</v>
      </c>
      <c r="E68" s="98">
        <v>59</v>
      </c>
      <c r="F68" s="100" t="s">
        <v>527</v>
      </c>
      <c r="G68" s="101"/>
      <c r="H68" s="101"/>
      <c r="I68" s="101"/>
      <c r="J68" s="101"/>
      <c r="K68" s="101"/>
      <c r="L68" s="101"/>
      <c r="M68" s="101"/>
      <c r="N68" s="101"/>
      <c r="O68" s="101"/>
      <c r="P68" s="101"/>
      <c r="Q68" s="101"/>
      <c r="R68" s="101"/>
      <c r="S68" s="101"/>
      <c r="T68" s="101"/>
      <c r="U68" s="101"/>
      <c r="V68" s="101"/>
      <c r="W68" s="101"/>
      <c r="X68" s="101"/>
      <c r="Y68" s="101"/>
      <c r="Z68" s="101"/>
    </row>
    <row r="69" spans="1:26" ht="13.2">
      <c r="A69" s="79">
        <v>24</v>
      </c>
      <c r="B69" s="97" t="s">
        <v>528</v>
      </c>
      <c r="C69" s="98">
        <v>79</v>
      </c>
      <c r="D69" s="11">
        <v>1</v>
      </c>
      <c r="E69" s="98">
        <v>79</v>
      </c>
      <c r="F69" s="100" t="s">
        <v>529</v>
      </c>
      <c r="G69" s="101"/>
      <c r="H69" s="101"/>
      <c r="I69" s="101"/>
      <c r="J69" s="101"/>
      <c r="K69" s="101"/>
      <c r="L69" s="101"/>
      <c r="M69" s="101"/>
      <c r="N69" s="101"/>
      <c r="O69" s="101"/>
      <c r="P69" s="101"/>
      <c r="Q69" s="101"/>
      <c r="R69" s="101"/>
      <c r="S69" s="101"/>
      <c r="T69" s="101"/>
      <c r="U69" s="101"/>
      <c r="V69" s="101"/>
      <c r="W69" s="101"/>
      <c r="X69" s="101"/>
      <c r="Y69" s="101"/>
      <c r="Z69" s="101"/>
    </row>
    <row r="70" spans="1:26" ht="13.2">
      <c r="A70" s="79">
        <v>25</v>
      </c>
      <c r="B70" s="97" t="s">
        <v>530</v>
      </c>
      <c r="C70" s="98">
        <v>139</v>
      </c>
      <c r="D70" s="11">
        <v>1</v>
      </c>
      <c r="E70" s="98">
        <v>139</v>
      </c>
      <c r="F70" s="100" t="s">
        <v>531</v>
      </c>
      <c r="G70" s="101"/>
      <c r="H70" s="101"/>
      <c r="I70" s="101"/>
      <c r="J70" s="101"/>
      <c r="K70" s="101"/>
      <c r="L70" s="101"/>
      <c r="M70" s="101"/>
      <c r="N70" s="101"/>
      <c r="O70" s="101"/>
      <c r="P70" s="101"/>
      <c r="Q70" s="101"/>
      <c r="R70" s="101"/>
      <c r="S70" s="101"/>
      <c r="T70" s="101"/>
      <c r="U70" s="101"/>
      <c r="V70" s="101"/>
      <c r="W70" s="101"/>
      <c r="X70" s="101"/>
      <c r="Y70" s="101"/>
      <c r="Z70" s="101"/>
    </row>
    <row r="71" spans="1:26" ht="13.2">
      <c r="A71" s="79">
        <v>26</v>
      </c>
      <c r="B71" s="97" t="s">
        <v>533</v>
      </c>
      <c r="C71" s="98">
        <v>129</v>
      </c>
      <c r="D71" s="11">
        <v>1</v>
      </c>
      <c r="E71" s="98">
        <v>129</v>
      </c>
      <c r="F71" s="100" t="s">
        <v>534</v>
      </c>
      <c r="G71" s="101"/>
      <c r="H71" s="101"/>
      <c r="I71" s="101"/>
      <c r="J71" s="101"/>
      <c r="K71" s="101"/>
      <c r="L71" s="101"/>
      <c r="M71" s="101"/>
      <c r="N71" s="101"/>
      <c r="O71" s="101"/>
      <c r="P71" s="101"/>
      <c r="Q71" s="101"/>
      <c r="R71" s="101"/>
      <c r="S71" s="101"/>
      <c r="T71" s="101"/>
      <c r="U71" s="101"/>
      <c r="V71" s="101"/>
      <c r="W71" s="101"/>
      <c r="X71" s="101"/>
      <c r="Y71" s="101"/>
      <c r="Z71" s="101"/>
    </row>
    <row r="72" spans="1:26" ht="13.2">
      <c r="A72" s="79">
        <v>27</v>
      </c>
      <c r="B72" s="97" t="s">
        <v>535</v>
      </c>
      <c r="C72" s="98">
        <v>149</v>
      </c>
      <c r="D72" s="11">
        <v>1</v>
      </c>
      <c r="E72" s="98">
        <v>149</v>
      </c>
      <c r="F72" s="100" t="s">
        <v>536</v>
      </c>
      <c r="G72" s="101"/>
      <c r="H72" s="101"/>
      <c r="I72" s="101"/>
      <c r="J72" s="101"/>
      <c r="K72" s="101"/>
      <c r="L72" s="101"/>
      <c r="M72" s="101"/>
      <c r="N72" s="101"/>
      <c r="O72" s="101"/>
      <c r="P72" s="101"/>
      <c r="Q72" s="101"/>
      <c r="R72" s="101"/>
      <c r="S72" s="101"/>
      <c r="T72" s="101"/>
      <c r="U72" s="101"/>
      <c r="V72" s="101"/>
      <c r="W72" s="101"/>
      <c r="X72" s="101"/>
      <c r="Y72" s="101"/>
      <c r="Z72" s="101"/>
    </row>
    <row r="73" spans="1:26" ht="13.2">
      <c r="A73" s="79">
        <v>28</v>
      </c>
      <c r="B73" s="97" t="s">
        <v>537</v>
      </c>
      <c r="C73" s="98">
        <v>164</v>
      </c>
      <c r="D73" s="11">
        <v>1</v>
      </c>
      <c r="E73" s="98">
        <v>164</v>
      </c>
      <c r="F73" s="100" t="s">
        <v>538</v>
      </c>
      <c r="G73" s="101"/>
      <c r="H73" s="101"/>
      <c r="I73" s="101"/>
      <c r="J73" s="101"/>
      <c r="K73" s="101"/>
      <c r="L73" s="101"/>
      <c r="M73" s="101"/>
      <c r="N73" s="101"/>
      <c r="O73" s="101"/>
      <c r="P73" s="101"/>
      <c r="Q73" s="101"/>
      <c r="R73" s="101"/>
      <c r="S73" s="101"/>
      <c r="T73" s="101"/>
      <c r="U73" s="101"/>
      <c r="V73" s="101"/>
      <c r="W73" s="101"/>
      <c r="X73" s="101"/>
      <c r="Y73" s="101"/>
      <c r="Z73" s="101"/>
    </row>
    <row r="74" spans="1:26" ht="13.2">
      <c r="A74" s="79">
        <v>29</v>
      </c>
      <c r="B74" s="103" t="s">
        <v>541</v>
      </c>
      <c r="C74" s="98">
        <v>269</v>
      </c>
      <c r="D74" s="11">
        <v>1</v>
      </c>
      <c r="E74" s="98">
        <v>269</v>
      </c>
      <c r="F74" s="100" t="s">
        <v>542</v>
      </c>
      <c r="G74" s="101"/>
      <c r="H74" s="101"/>
      <c r="I74" s="101"/>
      <c r="J74" s="101"/>
      <c r="K74" s="101"/>
      <c r="L74" s="101"/>
      <c r="M74" s="101"/>
      <c r="N74" s="101"/>
      <c r="O74" s="101"/>
      <c r="P74" s="101"/>
      <c r="Q74" s="101"/>
      <c r="R74" s="101"/>
      <c r="S74" s="101"/>
      <c r="T74" s="101"/>
      <c r="U74" s="101"/>
      <c r="V74" s="101"/>
      <c r="W74" s="101"/>
      <c r="X74" s="101"/>
      <c r="Y74" s="101"/>
      <c r="Z74" s="101"/>
    </row>
    <row r="75" spans="1:26" ht="13.2">
      <c r="A75" s="79">
        <v>30</v>
      </c>
      <c r="B75" s="97" t="s">
        <v>544</v>
      </c>
      <c r="C75" s="98">
        <v>255</v>
      </c>
      <c r="D75" s="11">
        <v>1</v>
      </c>
      <c r="E75" s="98">
        <v>255</v>
      </c>
      <c r="F75" s="100" t="s">
        <v>545</v>
      </c>
      <c r="G75" s="101"/>
      <c r="H75" s="101"/>
      <c r="I75" s="101"/>
      <c r="J75" s="101"/>
      <c r="K75" s="101"/>
      <c r="L75" s="101"/>
      <c r="M75" s="101"/>
      <c r="N75" s="101"/>
      <c r="O75" s="101"/>
      <c r="P75" s="101"/>
      <c r="Q75" s="101"/>
      <c r="R75" s="101"/>
      <c r="S75" s="101"/>
      <c r="T75" s="101"/>
      <c r="U75" s="101"/>
      <c r="V75" s="101"/>
      <c r="W75" s="101"/>
      <c r="X75" s="101"/>
      <c r="Y75" s="101"/>
      <c r="Z75" s="101"/>
    </row>
    <row r="76" spans="1:26" ht="13.2">
      <c r="A76" s="79">
        <v>31</v>
      </c>
      <c r="B76" s="97" t="s">
        <v>546</v>
      </c>
      <c r="C76" s="98">
        <v>500</v>
      </c>
      <c r="D76" s="11">
        <v>2</v>
      </c>
      <c r="E76" s="98">
        <v>1000</v>
      </c>
      <c r="F76" s="100" t="s">
        <v>547</v>
      </c>
      <c r="G76" s="101"/>
      <c r="H76" s="101"/>
      <c r="I76" s="101"/>
      <c r="J76" s="101"/>
      <c r="K76" s="101"/>
      <c r="L76" s="101"/>
      <c r="M76" s="101"/>
      <c r="N76" s="101"/>
      <c r="O76" s="101"/>
      <c r="P76" s="101"/>
      <c r="Q76" s="101"/>
      <c r="R76" s="101"/>
      <c r="S76" s="101"/>
      <c r="T76" s="101"/>
      <c r="U76" s="101"/>
      <c r="V76" s="101"/>
      <c r="W76" s="101"/>
      <c r="X76" s="101"/>
      <c r="Y76" s="101"/>
      <c r="Z76" s="101"/>
    </row>
    <row r="77" spans="1:26" ht="13.2">
      <c r="A77" s="79">
        <v>32</v>
      </c>
      <c r="B77" s="97" t="s">
        <v>549</v>
      </c>
      <c r="C77" s="98">
        <v>2000</v>
      </c>
      <c r="D77" s="11">
        <v>1</v>
      </c>
      <c r="E77" s="98">
        <v>2000</v>
      </c>
      <c r="F77" s="52"/>
      <c r="G77" s="101"/>
      <c r="H77" s="101"/>
      <c r="I77" s="101"/>
      <c r="J77" s="101"/>
      <c r="K77" s="101"/>
      <c r="L77" s="101"/>
      <c r="M77" s="101"/>
      <c r="N77" s="101"/>
      <c r="O77" s="101"/>
      <c r="P77" s="101"/>
      <c r="Q77" s="101"/>
      <c r="R77" s="101"/>
      <c r="S77" s="101"/>
      <c r="T77" s="101"/>
      <c r="U77" s="101"/>
      <c r="V77" s="101"/>
      <c r="W77" s="101"/>
      <c r="X77" s="101"/>
      <c r="Y77" s="101"/>
      <c r="Z77" s="101"/>
    </row>
    <row r="78" spans="1:26" ht="13.2">
      <c r="A78" s="79">
        <v>33</v>
      </c>
      <c r="B78" s="105" t="s">
        <v>551</v>
      </c>
      <c r="C78" s="98">
        <v>93</v>
      </c>
      <c r="D78" s="11">
        <v>28</v>
      </c>
      <c r="E78" s="98">
        <f t="shared" ref="E78:E83" si="2">C78*D78</f>
        <v>2604</v>
      </c>
      <c r="F78" s="100" t="s">
        <v>552</v>
      </c>
      <c r="G78" s="101"/>
      <c r="H78" s="101"/>
      <c r="I78" s="101"/>
      <c r="J78" s="101"/>
      <c r="K78" s="101"/>
      <c r="L78" s="101"/>
      <c r="M78" s="101"/>
      <c r="N78" s="101"/>
      <c r="O78" s="101"/>
      <c r="P78" s="101"/>
      <c r="Q78" s="101"/>
      <c r="R78" s="101"/>
      <c r="S78" s="101"/>
      <c r="T78" s="101"/>
      <c r="U78" s="101"/>
      <c r="V78" s="101"/>
      <c r="W78" s="101"/>
      <c r="X78" s="101"/>
      <c r="Y78" s="101"/>
      <c r="Z78" s="101"/>
    </row>
    <row r="79" spans="1:26" ht="13.2">
      <c r="A79" s="79">
        <v>34</v>
      </c>
      <c r="B79" s="103" t="s">
        <v>556</v>
      </c>
      <c r="C79" s="98">
        <v>1049</v>
      </c>
      <c r="D79" s="11">
        <v>1</v>
      </c>
      <c r="E79" s="98">
        <f t="shared" si="2"/>
        <v>1049</v>
      </c>
      <c r="F79" s="100" t="s">
        <v>557</v>
      </c>
      <c r="G79" s="101"/>
      <c r="H79" s="101"/>
      <c r="I79" s="101"/>
      <c r="J79" s="101"/>
      <c r="K79" s="101"/>
      <c r="L79" s="101"/>
      <c r="M79" s="101"/>
      <c r="N79" s="101"/>
      <c r="O79" s="101"/>
      <c r="P79" s="101"/>
      <c r="Q79" s="101"/>
      <c r="R79" s="101"/>
      <c r="S79" s="101"/>
      <c r="T79" s="101"/>
      <c r="U79" s="101"/>
      <c r="V79" s="101"/>
      <c r="W79" s="101"/>
      <c r="X79" s="101"/>
      <c r="Y79" s="101"/>
      <c r="Z79" s="101"/>
    </row>
    <row r="80" spans="1:26" ht="13.2">
      <c r="A80" s="79">
        <v>35</v>
      </c>
      <c r="B80" s="64" t="s">
        <v>559</v>
      </c>
      <c r="C80" s="98">
        <v>525</v>
      </c>
      <c r="D80" s="11">
        <v>2</v>
      </c>
      <c r="E80" s="98">
        <f t="shared" si="2"/>
        <v>1050</v>
      </c>
      <c r="F80" s="100" t="s">
        <v>560</v>
      </c>
      <c r="G80" s="101"/>
      <c r="H80" s="101"/>
      <c r="I80" s="101"/>
      <c r="J80" s="101"/>
      <c r="K80" s="101"/>
      <c r="L80" s="101"/>
      <c r="M80" s="101"/>
      <c r="N80" s="101"/>
      <c r="O80" s="101"/>
      <c r="P80" s="101"/>
      <c r="Q80" s="101"/>
      <c r="R80" s="101"/>
      <c r="S80" s="101"/>
      <c r="T80" s="101"/>
      <c r="U80" s="101"/>
      <c r="V80" s="101"/>
      <c r="W80" s="101"/>
      <c r="X80" s="101"/>
      <c r="Y80" s="101"/>
      <c r="Z80" s="101"/>
    </row>
    <row r="81" spans="1:26" ht="13.2">
      <c r="A81" s="90">
        <v>36</v>
      </c>
      <c r="B81" s="91" t="s">
        <v>472</v>
      </c>
      <c r="C81" s="90">
        <v>399</v>
      </c>
      <c r="D81" s="90">
        <v>1</v>
      </c>
      <c r="E81" s="92">
        <f t="shared" si="2"/>
        <v>399</v>
      </c>
      <c r="F81" s="95" t="s">
        <v>563</v>
      </c>
      <c r="G81" s="94"/>
      <c r="H81" s="4"/>
      <c r="I81" s="4"/>
      <c r="J81" s="4"/>
      <c r="K81" s="4"/>
      <c r="L81" s="4"/>
      <c r="M81" s="4"/>
      <c r="N81" s="4"/>
      <c r="O81" s="4"/>
      <c r="P81" s="4"/>
      <c r="Q81" s="4"/>
      <c r="R81" s="4"/>
      <c r="S81" s="4"/>
      <c r="T81" s="4"/>
      <c r="U81" s="4"/>
      <c r="V81" s="4"/>
      <c r="W81" s="4"/>
      <c r="X81" s="4"/>
      <c r="Y81" s="4"/>
      <c r="Z81" s="4"/>
    </row>
    <row r="82" spans="1:26" ht="13.2">
      <c r="A82" s="90">
        <v>37</v>
      </c>
      <c r="B82" s="91" t="s">
        <v>565</v>
      </c>
      <c r="C82" s="90">
        <v>75</v>
      </c>
      <c r="D82" s="90">
        <v>1</v>
      </c>
      <c r="E82" s="92">
        <f t="shared" si="2"/>
        <v>75</v>
      </c>
      <c r="F82" s="95" t="s">
        <v>566</v>
      </c>
      <c r="G82" s="94"/>
      <c r="H82" s="4"/>
      <c r="I82" s="4"/>
      <c r="J82" s="4"/>
      <c r="K82" s="4"/>
      <c r="L82" s="4"/>
      <c r="M82" s="4"/>
      <c r="N82" s="4"/>
      <c r="O82" s="4"/>
      <c r="P82" s="4"/>
      <c r="Q82" s="4"/>
      <c r="R82" s="4"/>
      <c r="S82" s="4"/>
      <c r="T82" s="4"/>
      <c r="U82" s="4"/>
      <c r="V82" s="4"/>
      <c r="W82" s="4"/>
      <c r="X82" s="4"/>
      <c r="Y82" s="4"/>
      <c r="Z82" s="4"/>
    </row>
    <row r="83" spans="1:26" ht="13.2">
      <c r="A83" s="7">
        <v>38</v>
      </c>
      <c r="B83" s="7" t="s">
        <v>568</v>
      </c>
      <c r="C83" s="7">
        <v>1000</v>
      </c>
      <c r="D83" s="3">
        <v>1</v>
      </c>
      <c r="E83" s="11">
        <f t="shared" si="2"/>
        <v>1000</v>
      </c>
      <c r="F83" s="106" t="s">
        <v>569</v>
      </c>
      <c r="G83" s="4"/>
      <c r="H83" s="4"/>
      <c r="I83" s="4"/>
      <c r="J83" s="4"/>
      <c r="K83" s="4"/>
      <c r="L83" s="4"/>
      <c r="M83" s="4"/>
      <c r="N83" s="4"/>
      <c r="O83" s="4"/>
      <c r="P83" s="4"/>
      <c r="Q83" s="4"/>
      <c r="R83" s="4"/>
      <c r="S83" s="4"/>
      <c r="T83" s="4"/>
      <c r="U83" s="4"/>
      <c r="V83" s="4"/>
      <c r="W83" s="4"/>
      <c r="X83" s="4"/>
      <c r="Y83" s="4"/>
      <c r="Z83" s="4"/>
    </row>
    <row r="84" spans="1:26" ht="13.2">
      <c r="A84" s="6"/>
      <c r="B84" s="6"/>
      <c r="C84" s="6"/>
      <c r="D84" s="3" t="s">
        <v>5</v>
      </c>
      <c r="E84" s="107">
        <f>SUM(E46:E83)</f>
        <v>17846</v>
      </c>
      <c r="F84" s="6"/>
      <c r="G84" s="4"/>
      <c r="H84" s="4"/>
      <c r="I84" s="4"/>
      <c r="J84" s="4"/>
      <c r="K84" s="4"/>
      <c r="L84" s="4"/>
      <c r="M84" s="4"/>
      <c r="N84" s="4"/>
      <c r="O84" s="4"/>
      <c r="P84" s="4"/>
      <c r="Q84" s="4"/>
      <c r="R84" s="4"/>
      <c r="S84" s="4"/>
      <c r="T84" s="4"/>
      <c r="U84" s="4"/>
      <c r="V84" s="4"/>
      <c r="W84" s="4"/>
      <c r="X84" s="4"/>
      <c r="Y84" s="4"/>
      <c r="Z84" s="4"/>
    </row>
    <row r="85" spans="1:26" ht="13.2">
      <c r="A85" s="13"/>
      <c r="B85" s="6"/>
      <c r="C85" s="6"/>
      <c r="D85" s="6"/>
      <c r="E85" s="6"/>
      <c r="F85" s="6"/>
      <c r="G85" s="4"/>
      <c r="H85" s="4"/>
      <c r="I85" s="4"/>
      <c r="J85" s="4"/>
      <c r="K85" s="4"/>
      <c r="L85" s="4"/>
      <c r="M85" s="4"/>
      <c r="N85" s="4"/>
      <c r="O85" s="4"/>
      <c r="P85" s="4"/>
      <c r="Q85" s="4"/>
      <c r="R85" s="4"/>
      <c r="S85" s="4"/>
      <c r="T85" s="4"/>
      <c r="U85" s="4"/>
      <c r="V85" s="4"/>
      <c r="W85" s="4"/>
      <c r="X85" s="4"/>
      <c r="Y85" s="4"/>
      <c r="Z85" s="4"/>
    </row>
    <row r="86" spans="1:26" ht="31.5" customHeight="1">
      <c r="A86" s="231" t="s">
        <v>110</v>
      </c>
      <c r="B86" s="226"/>
      <c r="C86" s="226"/>
      <c r="D86" s="226"/>
      <c r="E86" s="226"/>
      <c r="F86" s="227"/>
      <c r="G86" s="4"/>
      <c r="H86" s="4"/>
      <c r="I86" s="4"/>
      <c r="J86" s="4"/>
      <c r="K86" s="4"/>
      <c r="L86" s="4"/>
      <c r="M86" s="4"/>
      <c r="N86" s="4"/>
      <c r="O86" s="4"/>
      <c r="P86" s="4"/>
      <c r="Q86" s="4"/>
      <c r="R86" s="4"/>
      <c r="S86" s="4"/>
      <c r="T86" s="4"/>
      <c r="U86" s="4"/>
      <c r="V86" s="4"/>
      <c r="W86" s="4"/>
      <c r="X86" s="4"/>
      <c r="Y86" s="4"/>
      <c r="Z86" s="4"/>
    </row>
    <row r="87" spans="1:26" ht="13.2">
      <c r="A87" s="108"/>
      <c r="B87" s="6"/>
      <c r="C87" s="6"/>
      <c r="D87" s="6"/>
      <c r="E87" s="6"/>
      <c r="F87" s="6"/>
      <c r="G87" s="4"/>
      <c r="H87" s="4"/>
      <c r="I87" s="4"/>
      <c r="J87" s="4"/>
      <c r="K87" s="4"/>
      <c r="L87" s="4"/>
      <c r="M87" s="4"/>
      <c r="N87" s="4"/>
      <c r="O87" s="4"/>
      <c r="P87" s="4"/>
      <c r="Q87" s="4"/>
      <c r="R87" s="4"/>
      <c r="S87" s="4"/>
      <c r="T87" s="4"/>
      <c r="U87" s="4"/>
      <c r="V87" s="4"/>
      <c r="W87" s="4"/>
      <c r="X87" s="4"/>
      <c r="Y87" s="4"/>
      <c r="Z87" s="4"/>
    </row>
    <row r="88" spans="1:26" ht="13.2">
      <c r="A88" s="83" t="s">
        <v>341</v>
      </c>
      <c r="B88" s="6"/>
      <c r="C88" s="6"/>
      <c r="D88" s="6"/>
      <c r="E88" s="6"/>
      <c r="F88" s="6"/>
      <c r="G88" s="4"/>
      <c r="H88" s="4"/>
      <c r="I88" s="4"/>
      <c r="J88" s="4"/>
      <c r="K88" s="4"/>
      <c r="L88" s="4"/>
      <c r="M88" s="4"/>
      <c r="N88" s="4"/>
      <c r="O88" s="4"/>
      <c r="P88" s="4"/>
      <c r="Q88" s="4"/>
      <c r="R88" s="4"/>
      <c r="S88" s="4"/>
      <c r="T88" s="4"/>
      <c r="U88" s="4"/>
      <c r="V88" s="4"/>
      <c r="W88" s="4"/>
      <c r="X88" s="4"/>
      <c r="Y88" s="4"/>
      <c r="Z88" s="4"/>
    </row>
    <row r="89" spans="1:26" ht="13.2">
      <c r="A89" s="3" t="s">
        <v>576</v>
      </c>
      <c r="B89" s="6"/>
      <c r="C89" s="6"/>
      <c r="D89" s="6"/>
      <c r="E89" s="6"/>
      <c r="F89" s="6"/>
      <c r="G89" s="4"/>
      <c r="H89" s="4"/>
      <c r="I89" s="4"/>
      <c r="J89" s="4"/>
      <c r="K89" s="4"/>
      <c r="L89" s="4"/>
      <c r="M89" s="4"/>
      <c r="N89" s="4"/>
      <c r="O89" s="4"/>
      <c r="P89" s="4"/>
      <c r="Q89" s="4"/>
      <c r="R89" s="4"/>
      <c r="S89" s="4"/>
      <c r="T89" s="4"/>
      <c r="U89" s="4"/>
      <c r="V89" s="4"/>
      <c r="W89" s="4"/>
      <c r="X89" s="4"/>
      <c r="Y89" s="4"/>
      <c r="Z89" s="4"/>
    </row>
    <row r="90" spans="1:26" ht="13.2">
      <c r="A90" s="7" t="s">
        <v>577</v>
      </c>
      <c r="B90" s="6"/>
      <c r="C90" s="6"/>
      <c r="D90" s="6"/>
      <c r="E90" s="6"/>
      <c r="F90" s="6"/>
      <c r="G90" s="4"/>
      <c r="H90" s="4"/>
      <c r="I90" s="4"/>
      <c r="J90" s="4"/>
      <c r="K90" s="4"/>
      <c r="L90" s="4"/>
      <c r="M90" s="4"/>
      <c r="N90" s="4"/>
      <c r="O90" s="4"/>
      <c r="P90" s="4"/>
      <c r="Q90" s="4"/>
      <c r="R90" s="4"/>
      <c r="S90" s="4"/>
      <c r="T90" s="4"/>
      <c r="U90" s="4"/>
      <c r="V90" s="4"/>
      <c r="W90" s="4"/>
      <c r="X90" s="4"/>
      <c r="Y90" s="4"/>
      <c r="Z90" s="4"/>
    </row>
    <row r="91" spans="1:26" ht="13.2">
      <c r="A91" s="7" t="s">
        <v>194</v>
      </c>
      <c r="B91" s="6"/>
      <c r="C91" s="6"/>
      <c r="D91" s="6"/>
      <c r="E91" s="6"/>
      <c r="F91" s="6"/>
      <c r="G91" s="4"/>
      <c r="H91" s="4"/>
      <c r="I91" s="4"/>
      <c r="J91" s="4"/>
      <c r="K91" s="4"/>
      <c r="L91" s="4"/>
      <c r="M91" s="4"/>
      <c r="N91" s="4"/>
      <c r="O91" s="4"/>
      <c r="P91" s="4"/>
      <c r="Q91" s="4"/>
      <c r="R91" s="4"/>
      <c r="S91" s="4"/>
      <c r="T91" s="4"/>
      <c r="U91" s="4"/>
      <c r="V91" s="4"/>
      <c r="W91" s="4"/>
      <c r="X91" s="4"/>
      <c r="Y91" s="4"/>
      <c r="Z91" s="4"/>
    </row>
    <row r="92" spans="1:26" ht="13.2">
      <c r="A92" s="7" t="s">
        <v>44</v>
      </c>
      <c r="B92" s="7" t="s">
        <v>46</v>
      </c>
      <c r="C92" s="7" t="s">
        <v>47</v>
      </c>
      <c r="D92" s="7" t="s">
        <v>48</v>
      </c>
      <c r="E92" s="7" t="s">
        <v>9</v>
      </c>
      <c r="F92" s="7" t="s">
        <v>52</v>
      </c>
      <c r="G92" s="4"/>
      <c r="H92" s="4"/>
      <c r="I92" s="4"/>
      <c r="J92" s="4"/>
      <c r="K92" s="4"/>
      <c r="L92" s="4"/>
      <c r="M92" s="4"/>
      <c r="N92" s="4"/>
      <c r="O92" s="4"/>
      <c r="P92" s="4"/>
      <c r="Q92" s="4"/>
      <c r="R92" s="4"/>
      <c r="S92" s="4"/>
      <c r="T92" s="4"/>
      <c r="U92" s="4"/>
      <c r="V92" s="4"/>
      <c r="W92" s="4"/>
      <c r="X92" s="4"/>
      <c r="Y92" s="4"/>
      <c r="Z92" s="4"/>
    </row>
    <row r="93" spans="1:26" ht="13.2">
      <c r="A93" s="11">
        <v>1</v>
      </c>
      <c r="B93" s="7" t="s">
        <v>138</v>
      </c>
      <c r="C93" s="7" t="s">
        <v>381</v>
      </c>
      <c r="D93" s="7" t="s">
        <v>381</v>
      </c>
      <c r="E93" s="11">
        <v>5000</v>
      </c>
      <c r="F93" s="7"/>
      <c r="G93" s="4"/>
      <c r="H93" s="4"/>
      <c r="I93" s="4"/>
      <c r="J93" s="4"/>
      <c r="K93" s="4"/>
      <c r="L93" s="4"/>
      <c r="M93" s="4"/>
      <c r="N93" s="4"/>
      <c r="O93" s="4"/>
      <c r="P93" s="4"/>
      <c r="Q93" s="4"/>
      <c r="R93" s="4"/>
      <c r="S93" s="4"/>
      <c r="T93" s="4"/>
      <c r="U93" s="4"/>
      <c r="V93" s="4"/>
      <c r="W93" s="4"/>
      <c r="X93" s="4"/>
      <c r="Y93" s="4"/>
      <c r="Z93" s="4"/>
    </row>
    <row r="94" spans="1:26" ht="13.2">
      <c r="A94" s="6"/>
      <c r="B94" s="6"/>
      <c r="C94" s="6"/>
      <c r="D94" s="3" t="s">
        <v>5</v>
      </c>
      <c r="E94" s="47">
        <f>SUM(E93)</f>
        <v>5000</v>
      </c>
      <c r="F94" s="6"/>
      <c r="G94" s="4"/>
      <c r="H94" s="4"/>
      <c r="I94" s="4"/>
      <c r="J94" s="4"/>
      <c r="K94" s="4"/>
      <c r="L94" s="4"/>
      <c r="M94" s="4"/>
      <c r="N94" s="4"/>
      <c r="O94" s="4"/>
      <c r="P94" s="4"/>
      <c r="Q94" s="4"/>
      <c r="R94" s="4"/>
      <c r="S94" s="4"/>
      <c r="T94" s="4"/>
      <c r="U94" s="4"/>
      <c r="V94" s="4"/>
      <c r="W94" s="4"/>
      <c r="X94" s="4"/>
      <c r="Y94" s="4"/>
      <c r="Z94" s="4"/>
    </row>
    <row r="95" spans="1:26" ht="13.2">
      <c r="A95" s="6"/>
      <c r="B95" s="6"/>
      <c r="C95" s="6"/>
      <c r="D95" s="13"/>
      <c r="E95" s="73"/>
      <c r="F95" s="6"/>
      <c r="G95" s="4"/>
      <c r="H95" s="4"/>
      <c r="I95" s="4"/>
      <c r="J95" s="4"/>
      <c r="K95" s="4"/>
      <c r="L95" s="4"/>
      <c r="M95" s="4"/>
      <c r="N95" s="4"/>
      <c r="O95" s="4"/>
      <c r="P95" s="4"/>
      <c r="Q95" s="4"/>
      <c r="R95" s="4"/>
      <c r="S95" s="4"/>
      <c r="T95" s="4"/>
      <c r="U95" s="4"/>
      <c r="V95" s="4"/>
      <c r="W95" s="4"/>
      <c r="X95" s="4"/>
      <c r="Y95" s="4"/>
      <c r="Z95" s="4"/>
    </row>
    <row r="96" spans="1:26" ht="13.2">
      <c r="A96" s="3" t="s">
        <v>581</v>
      </c>
      <c r="B96" s="6"/>
      <c r="C96" s="6"/>
      <c r="D96" s="6"/>
      <c r="E96" s="6"/>
      <c r="F96" s="6"/>
      <c r="G96" s="4"/>
      <c r="H96" s="4"/>
      <c r="I96" s="4"/>
      <c r="J96" s="4"/>
      <c r="K96" s="4"/>
      <c r="L96" s="4"/>
      <c r="M96" s="4"/>
      <c r="N96" s="4"/>
      <c r="O96" s="4"/>
      <c r="P96" s="4"/>
      <c r="Q96" s="4"/>
      <c r="R96" s="4"/>
      <c r="S96" s="4"/>
      <c r="T96" s="4"/>
      <c r="U96" s="4"/>
      <c r="V96" s="4"/>
      <c r="W96" s="4"/>
      <c r="X96" s="4"/>
      <c r="Y96" s="4"/>
      <c r="Z96" s="4"/>
    </row>
    <row r="97" spans="1:26" ht="13.2">
      <c r="A97" s="109" t="s">
        <v>582</v>
      </c>
      <c r="B97" s="6"/>
      <c r="C97" s="6"/>
      <c r="D97" s="6"/>
      <c r="E97" s="6"/>
      <c r="F97" s="6"/>
      <c r="G97" s="4"/>
      <c r="H97" s="4"/>
      <c r="I97" s="4"/>
      <c r="J97" s="4"/>
      <c r="K97" s="4"/>
      <c r="L97" s="4"/>
      <c r="M97" s="4"/>
      <c r="N97" s="4"/>
      <c r="O97" s="4"/>
      <c r="P97" s="4"/>
      <c r="Q97" s="4"/>
      <c r="R97" s="4"/>
      <c r="S97" s="4"/>
      <c r="T97" s="4"/>
      <c r="U97" s="4"/>
      <c r="V97" s="4"/>
      <c r="W97" s="4"/>
      <c r="X97" s="4"/>
      <c r="Y97" s="4"/>
      <c r="Z97" s="4"/>
    </row>
    <row r="98" spans="1:26" ht="13.2">
      <c r="A98" s="108"/>
      <c r="B98" s="6"/>
      <c r="C98" s="6"/>
      <c r="D98" s="6"/>
      <c r="E98" s="6"/>
      <c r="F98" s="6"/>
      <c r="G98" s="4"/>
      <c r="H98" s="4"/>
      <c r="I98" s="4"/>
      <c r="J98" s="4"/>
      <c r="K98" s="4"/>
      <c r="L98" s="4"/>
      <c r="M98" s="4"/>
      <c r="N98" s="4"/>
      <c r="O98" s="4"/>
      <c r="P98" s="4"/>
      <c r="Q98" s="4"/>
      <c r="R98" s="4"/>
      <c r="S98" s="4"/>
      <c r="T98" s="4"/>
      <c r="U98" s="4"/>
      <c r="V98" s="4"/>
      <c r="W98" s="4"/>
      <c r="X98" s="4"/>
      <c r="Y98" s="4"/>
      <c r="Z98" s="4"/>
    </row>
    <row r="99" spans="1:26" ht="13.2">
      <c r="A99" s="83" t="s">
        <v>584</v>
      </c>
      <c r="B99" s="6"/>
      <c r="C99" s="6"/>
      <c r="D99" s="6"/>
      <c r="E99" s="6"/>
      <c r="F99" s="6"/>
      <c r="G99" s="4"/>
      <c r="H99" s="4"/>
      <c r="I99" s="4"/>
      <c r="J99" s="4"/>
      <c r="K99" s="4"/>
      <c r="L99" s="4"/>
      <c r="M99" s="4"/>
      <c r="N99" s="4"/>
      <c r="O99" s="4"/>
      <c r="P99" s="4"/>
      <c r="Q99" s="4"/>
      <c r="R99" s="4"/>
      <c r="S99" s="4"/>
      <c r="T99" s="4"/>
      <c r="U99" s="4"/>
      <c r="V99" s="4"/>
      <c r="W99" s="4"/>
      <c r="X99" s="4"/>
      <c r="Y99" s="4"/>
      <c r="Z99" s="4"/>
    </row>
    <row r="100" spans="1:26" ht="13.2">
      <c r="A100" s="3" t="s">
        <v>585</v>
      </c>
      <c r="B100" s="6"/>
      <c r="C100" s="6"/>
      <c r="D100" s="6"/>
      <c r="E100" s="6"/>
      <c r="F100" s="6"/>
      <c r="G100" s="4"/>
      <c r="H100" s="4"/>
      <c r="I100" s="4"/>
      <c r="J100" s="4"/>
      <c r="K100" s="4"/>
      <c r="L100" s="4"/>
      <c r="M100" s="4"/>
      <c r="N100" s="4"/>
      <c r="O100" s="4"/>
      <c r="P100" s="4"/>
      <c r="Q100" s="4"/>
      <c r="R100" s="4"/>
      <c r="S100" s="4"/>
      <c r="T100" s="4"/>
      <c r="U100" s="4"/>
      <c r="V100" s="4"/>
      <c r="W100" s="4"/>
      <c r="X100" s="4"/>
      <c r="Y100" s="4"/>
      <c r="Z100" s="4"/>
    </row>
    <row r="101" spans="1:26" ht="13.2">
      <c r="A101" s="3" t="s">
        <v>586</v>
      </c>
      <c r="B101" s="6"/>
      <c r="C101" s="6"/>
      <c r="D101" s="6"/>
      <c r="E101" s="6"/>
      <c r="F101" s="6"/>
      <c r="G101" s="4"/>
      <c r="H101" s="4"/>
      <c r="I101" s="4"/>
      <c r="J101" s="4"/>
      <c r="K101" s="4"/>
      <c r="L101" s="4"/>
      <c r="M101" s="4"/>
      <c r="N101" s="4"/>
      <c r="O101" s="4"/>
      <c r="P101" s="4"/>
      <c r="Q101" s="4"/>
      <c r="R101" s="4"/>
      <c r="S101" s="4"/>
      <c r="T101" s="4"/>
      <c r="U101" s="4"/>
      <c r="V101" s="4"/>
      <c r="W101" s="4"/>
      <c r="X101" s="4"/>
      <c r="Y101" s="4"/>
      <c r="Z101" s="4"/>
    </row>
    <row r="102" spans="1:26" ht="13.2">
      <c r="A102" s="13"/>
      <c r="B102" s="6"/>
      <c r="C102" s="6"/>
      <c r="D102" s="6"/>
      <c r="E102" s="6"/>
      <c r="F102" s="6"/>
      <c r="G102" s="4"/>
      <c r="H102" s="4"/>
      <c r="I102" s="4"/>
      <c r="J102" s="4"/>
      <c r="K102" s="4"/>
      <c r="L102" s="4"/>
      <c r="M102" s="4"/>
      <c r="N102" s="4"/>
      <c r="O102" s="4"/>
      <c r="P102" s="4"/>
      <c r="Q102" s="4"/>
      <c r="R102" s="4"/>
      <c r="S102" s="4"/>
      <c r="T102" s="4"/>
      <c r="U102" s="4"/>
      <c r="V102" s="4"/>
      <c r="W102" s="4"/>
      <c r="X102" s="4"/>
      <c r="Y102" s="4"/>
      <c r="Z102" s="4"/>
    </row>
    <row r="103" spans="1:26" ht="13.2">
      <c r="A103" s="3" t="s">
        <v>254</v>
      </c>
      <c r="B103" s="6"/>
      <c r="C103" s="6"/>
      <c r="D103" s="6"/>
      <c r="E103" s="6"/>
      <c r="F103" s="6"/>
      <c r="G103" s="4"/>
      <c r="H103" s="4"/>
      <c r="I103" s="4"/>
      <c r="J103" s="4"/>
      <c r="K103" s="4"/>
      <c r="L103" s="4"/>
      <c r="M103" s="4"/>
      <c r="N103" s="4"/>
      <c r="O103" s="4"/>
      <c r="P103" s="4"/>
      <c r="Q103" s="4"/>
      <c r="R103" s="4"/>
      <c r="S103" s="4"/>
      <c r="T103" s="4"/>
      <c r="U103" s="4"/>
      <c r="V103" s="4"/>
      <c r="W103" s="4"/>
      <c r="X103" s="4"/>
      <c r="Y103" s="4"/>
      <c r="Z103" s="4"/>
    </row>
    <row r="104" spans="1:26" ht="34.5" customHeight="1">
      <c r="A104" s="11">
        <v>1</v>
      </c>
      <c r="B104" s="48" t="s">
        <v>588</v>
      </c>
      <c r="C104" s="7" t="s">
        <v>589</v>
      </c>
      <c r="D104" s="110" t="s">
        <v>590</v>
      </c>
      <c r="E104" s="11">
        <v>4000</v>
      </c>
      <c r="F104" s="88"/>
      <c r="G104" s="4"/>
      <c r="H104" s="4"/>
      <c r="I104" s="4"/>
      <c r="J104" s="4"/>
      <c r="K104" s="4"/>
      <c r="L104" s="4"/>
      <c r="M104" s="4"/>
      <c r="N104" s="4"/>
      <c r="O104" s="4"/>
      <c r="P104" s="4"/>
      <c r="Q104" s="4"/>
      <c r="R104" s="4"/>
      <c r="S104" s="4"/>
      <c r="T104" s="4"/>
      <c r="U104" s="4"/>
      <c r="V104" s="4"/>
      <c r="W104" s="4"/>
      <c r="X104" s="4"/>
      <c r="Y104" s="4"/>
      <c r="Z104" s="4"/>
    </row>
    <row r="105" spans="1:26" ht="34.5" customHeight="1">
      <c r="A105" s="11">
        <v>2</v>
      </c>
      <c r="B105" s="48" t="s">
        <v>592</v>
      </c>
      <c r="C105" s="7" t="s">
        <v>593</v>
      </c>
      <c r="D105" s="110" t="s">
        <v>594</v>
      </c>
      <c r="E105" s="11">
        <v>4800</v>
      </c>
      <c r="F105" s="88" t="s">
        <v>595</v>
      </c>
      <c r="G105" s="4"/>
      <c r="H105" s="4"/>
      <c r="I105" s="4"/>
      <c r="J105" s="4"/>
      <c r="K105" s="4"/>
      <c r="L105" s="4"/>
      <c r="M105" s="4"/>
      <c r="N105" s="4"/>
      <c r="O105" s="4"/>
      <c r="P105" s="4"/>
      <c r="Q105" s="4"/>
      <c r="R105" s="4"/>
      <c r="S105" s="4"/>
      <c r="T105" s="4"/>
      <c r="U105" s="4"/>
      <c r="V105" s="4"/>
      <c r="W105" s="4"/>
      <c r="X105" s="4"/>
      <c r="Y105" s="4"/>
      <c r="Z105" s="4"/>
    </row>
    <row r="106" spans="1:26" ht="13.2">
      <c r="A106" s="7">
        <v>3</v>
      </c>
      <c r="B106" s="7" t="s">
        <v>599</v>
      </c>
      <c r="C106" s="7" t="s">
        <v>600</v>
      </c>
      <c r="D106" s="3"/>
      <c r="E106" s="11">
        <v>23000</v>
      </c>
      <c r="F106" s="87" t="s">
        <v>601</v>
      </c>
      <c r="G106" s="4"/>
      <c r="H106" s="4"/>
      <c r="I106" s="4"/>
      <c r="J106" s="4"/>
      <c r="K106" s="4"/>
      <c r="L106" s="4"/>
      <c r="M106" s="4"/>
      <c r="N106" s="4"/>
      <c r="O106" s="4"/>
      <c r="P106" s="4"/>
      <c r="Q106" s="4"/>
      <c r="R106" s="4"/>
      <c r="S106" s="4"/>
      <c r="T106" s="4"/>
      <c r="U106" s="4"/>
      <c r="V106" s="4"/>
      <c r="W106" s="4"/>
      <c r="X106" s="4"/>
      <c r="Y106" s="4"/>
      <c r="Z106" s="4"/>
    </row>
    <row r="107" spans="1:26" ht="13.2">
      <c r="A107" s="6"/>
      <c r="B107" s="6"/>
      <c r="C107" s="6"/>
      <c r="D107" s="3" t="s">
        <v>5</v>
      </c>
      <c r="E107" s="47">
        <f>SUM(E104:E106)</f>
        <v>31800</v>
      </c>
      <c r="F107" s="6"/>
      <c r="G107" s="4"/>
      <c r="H107" s="4"/>
      <c r="I107" s="4"/>
      <c r="J107" s="4"/>
      <c r="K107" s="4"/>
      <c r="L107" s="4"/>
      <c r="M107" s="4"/>
      <c r="N107" s="4"/>
      <c r="O107" s="4"/>
      <c r="P107" s="4"/>
      <c r="Q107" s="4"/>
      <c r="R107" s="4"/>
      <c r="S107" s="4"/>
      <c r="T107" s="4"/>
      <c r="U107" s="4"/>
      <c r="V107" s="4"/>
      <c r="W107" s="4"/>
      <c r="X107" s="4"/>
      <c r="Y107" s="4"/>
      <c r="Z107" s="4"/>
    </row>
    <row r="108" spans="1:26" ht="13.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2">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3.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3.2">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3.2">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3.2">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3.2">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3.2">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3.2">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3.2">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3.2">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3.2">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3.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sheetData>
  <mergeCells count="3">
    <mergeCell ref="A34:F34"/>
    <mergeCell ref="A40:F40"/>
    <mergeCell ref="A86:F86"/>
  </mergeCells>
  <hyperlinks>
    <hyperlink ref="F36" r:id="rId1" xr:uid="{00000000-0004-0000-0700-000000000000}"/>
    <hyperlink ref="F37" r:id="rId2" xr:uid="{00000000-0004-0000-0700-000001000000}"/>
    <hyperlink ref="F42" r:id="rId3" xr:uid="{00000000-0004-0000-0700-000002000000}"/>
    <hyperlink ref="G42" r:id="rId4" xr:uid="{00000000-0004-0000-0700-000003000000}"/>
    <hyperlink ref="F46" r:id="rId5" xr:uid="{00000000-0004-0000-0700-000004000000}"/>
    <hyperlink ref="F47" r:id="rId6" xr:uid="{00000000-0004-0000-0700-000005000000}"/>
    <hyperlink ref="F48" r:id="rId7" xr:uid="{00000000-0004-0000-0700-000006000000}"/>
    <hyperlink ref="F49" r:id="rId8" xr:uid="{00000000-0004-0000-0700-000007000000}"/>
    <hyperlink ref="F50" r:id="rId9" xr:uid="{00000000-0004-0000-0700-000008000000}"/>
    <hyperlink ref="F51" r:id="rId10" xr:uid="{00000000-0004-0000-0700-000009000000}"/>
    <hyperlink ref="F52" r:id="rId11" xr:uid="{00000000-0004-0000-0700-00000A000000}"/>
    <hyperlink ref="F53" r:id="rId12" xr:uid="{00000000-0004-0000-0700-00000B000000}"/>
    <hyperlink ref="F55" r:id="rId13" xr:uid="{00000000-0004-0000-0700-00000C000000}"/>
    <hyperlink ref="F56" r:id="rId14" xr:uid="{00000000-0004-0000-0700-00000D000000}"/>
    <hyperlink ref="F57" r:id="rId15" xr:uid="{00000000-0004-0000-0700-00000E000000}"/>
    <hyperlink ref="F58" r:id="rId16" xr:uid="{00000000-0004-0000-0700-00000F000000}"/>
    <hyperlink ref="F59" r:id="rId17" xr:uid="{00000000-0004-0000-0700-000010000000}"/>
    <hyperlink ref="F60" r:id="rId18" xr:uid="{00000000-0004-0000-0700-000011000000}"/>
    <hyperlink ref="F61" r:id="rId19" xr:uid="{00000000-0004-0000-0700-000012000000}"/>
    <hyperlink ref="F62" r:id="rId20" xr:uid="{00000000-0004-0000-0700-000013000000}"/>
    <hyperlink ref="F63" r:id="rId21" xr:uid="{00000000-0004-0000-0700-000014000000}"/>
    <hyperlink ref="F64" r:id="rId22" xr:uid="{00000000-0004-0000-0700-000015000000}"/>
    <hyperlink ref="F65" r:id="rId23" xr:uid="{00000000-0004-0000-0700-000016000000}"/>
    <hyperlink ref="F66" r:id="rId24" xr:uid="{00000000-0004-0000-0700-000017000000}"/>
    <hyperlink ref="F67" r:id="rId25" xr:uid="{00000000-0004-0000-0700-000018000000}"/>
    <hyperlink ref="F68" r:id="rId26" xr:uid="{00000000-0004-0000-0700-000019000000}"/>
    <hyperlink ref="F69" r:id="rId27" xr:uid="{00000000-0004-0000-0700-00001A000000}"/>
    <hyperlink ref="F70" r:id="rId28" xr:uid="{00000000-0004-0000-0700-00001B000000}"/>
    <hyperlink ref="F71" r:id="rId29" xr:uid="{00000000-0004-0000-0700-00001C000000}"/>
    <hyperlink ref="F72" r:id="rId30" xr:uid="{00000000-0004-0000-0700-00001D000000}"/>
    <hyperlink ref="F73" r:id="rId31" xr:uid="{00000000-0004-0000-0700-00001E000000}"/>
    <hyperlink ref="F74" r:id="rId32" xr:uid="{00000000-0004-0000-0700-00001F000000}"/>
    <hyperlink ref="F75" r:id="rId33" xr:uid="{00000000-0004-0000-0700-000020000000}"/>
    <hyperlink ref="F76" r:id="rId34" xr:uid="{00000000-0004-0000-0700-000021000000}"/>
    <hyperlink ref="F78" r:id="rId35" xr:uid="{00000000-0004-0000-0700-000022000000}"/>
    <hyperlink ref="F79" r:id="rId36" xr:uid="{00000000-0004-0000-0700-000023000000}"/>
    <hyperlink ref="F80" r:id="rId37" xr:uid="{00000000-0004-0000-0700-000024000000}"/>
    <hyperlink ref="F81" r:id="rId38" xr:uid="{00000000-0004-0000-0700-000025000000}"/>
    <hyperlink ref="F82" r:id="rId39" xr:uid="{00000000-0004-0000-0700-000026000000}"/>
    <hyperlink ref="F83" r:id="rId40" xr:uid="{00000000-0004-0000-0700-000027000000}"/>
    <hyperlink ref="F105" r:id="rId41" location="crm-all-apps" xr:uid="{00000000-0004-0000-0700-000028000000}"/>
    <hyperlink ref="F106" r:id="rId42" xr:uid="{00000000-0004-0000-0700-000029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987"/>
  <sheetViews>
    <sheetView workbookViewId="0"/>
  </sheetViews>
  <sheetFormatPr defaultColWidth="12.6640625" defaultRowHeight="15.75" customHeight="1"/>
  <cols>
    <col min="1" max="1" width="52.33203125" customWidth="1"/>
    <col min="2" max="2" width="33.77734375" customWidth="1"/>
    <col min="6" max="6" width="14.88671875" customWidth="1"/>
  </cols>
  <sheetData>
    <row r="1" spans="1:6" ht="13.2">
      <c r="A1" s="53" t="s">
        <v>1</v>
      </c>
    </row>
    <row r="2" spans="1:6" ht="13.2">
      <c r="A2" s="54" t="s">
        <v>2</v>
      </c>
      <c r="B2" s="54" t="s">
        <v>9</v>
      </c>
    </row>
    <row r="3" spans="1:6" ht="13.2">
      <c r="A3" s="55" t="s">
        <v>3</v>
      </c>
      <c r="B3" s="112">
        <f>E51+C61</f>
        <v>45000</v>
      </c>
    </row>
    <row r="4" spans="1:6" ht="13.2">
      <c r="A4" s="55" t="s">
        <v>4</v>
      </c>
      <c r="B4" s="112">
        <f>E35</f>
        <v>61077</v>
      </c>
    </row>
    <row r="5" spans="1:6" ht="13.2">
      <c r="A5" s="54" t="s">
        <v>5</v>
      </c>
      <c r="B5" s="112">
        <f>SUM(B3:B4)</f>
        <v>106077</v>
      </c>
    </row>
    <row r="6" spans="1:6" ht="13.2">
      <c r="A6" s="53"/>
    </row>
    <row r="7" spans="1:6" ht="13.2">
      <c r="A7" s="53" t="s">
        <v>14</v>
      </c>
    </row>
    <row r="8" spans="1:6" ht="13.2">
      <c r="A8" s="55" t="s">
        <v>638</v>
      </c>
    </row>
    <row r="9" spans="1:6" ht="13.2">
      <c r="A9" s="55" t="s">
        <v>639</v>
      </c>
    </row>
    <row r="10" spans="1:6" ht="13.2">
      <c r="A10" s="55" t="s">
        <v>640</v>
      </c>
    </row>
    <row r="11" spans="1:6" ht="13.2"/>
    <row r="12" spans="1:6" ht="13.2">
      <c r="A12" s="55" t="s">
        <v>641</v>
      </c>
    </row>
    <row r="13" spans="1:6" ht="13.2">
      <c r="A13" s="55" t="s">
        <v>643</v>
      </c>
    </row>
    <row r="14" spans="1:6" ht="13.2">
      <c r="A14" s="55" t="s">
        <v>640</v>
      </c>
    </row>
    <row r="15" spans="1:6" ht="13.2">
      <c r="A15" s="113"/>
      <c r="B15" s="114"/>
      <c r="E15" s="115"/>
    </row>
    <row r="16" spans="1:6" ht="13.2">
      <c r="A16" s="234" t="s">
        <v>103</v>
      </c>
      <c r="B16" s="226"/>
      <c r="C16" s="226"/>
      <c r="D16" s="226"/>
      <c r="E16" s="226"/>
      <c r="F16" s="227"/>
    </row>
    <row r="17" spans="1:6" ht="13.2">
      <c r="A17" s="54" t="s">
        <v>44</v>
      </c>
      <c r="B17" s="54" t="s">
        <v>46</v>
      </c>
      <c r="C17" s="54" t="s">
        <v>47</v>
      </c>
      <c r="D17" s="54" t="s">
        <v>48</v>
      </c>
      <c r="E17" s="54" t="s">
        <v>9</v>
      </c>
      <c r="F17" s="54" t="s">
        <v>52</v>
      </c>
    </row>
    <row r="18" spans="1:6" ht="13.2">
      <c r="A18" s="70">
        <v>1</v>
      </c>
      <c r="B18" s="55" t="s">
        <v>664</v>
      </c>
      <c r="C18" s="112">
        <v>5664</v>
      </c>
      <c r="D18" s="55">
        <v>4</v>
      </c>
      <c r="E18" s="117">
        <v>22256</v>
      </c>
      <c r="F18" s="118" t="s">
        <v>665</v>
      </c>
    </row>
    <row r="19" spans="1:6" ht="13.2">
      <c r="A19" s="70">
        <v>2</v>
      </c>
      <c r="B19" s="119" t="s">
        <v>671</v>
      </c>
      <c r="C19" s="55">
        <v>1947</v>
      </c>
      <c r="D19" s="55">
        <v>4</v>
      </c>
      <c r="E19" s="120">
        <v>7788</v>
      </c>
      <c r="F19" s="118" t="s">
        <v>672</v>
      </c>
    </row>
    <row r="20" spans="1:6" ht="13.2">
      <c r="A20" s="70">
        <v>3</v>
      </c>
      <c r="B20" s="55" t="s">
        <v>674</v>
      </c>
      <c r="C20" s="55">
        <v>6619</v>
      </c>
      <c r="D20" s="55">
        <v>1</v>
      </c>
      <c r="E20" s="120">
        <v>6619</v>
      </c>
      <c r="F20" s="118" t="s">
        <v>675</v>
      </c>
    </row>
    <row r="21" spans="1:6" ht="17.25" customHeight="1">
      <c r="A21" s="70">
        <v>4</v>
      </c>
      <c r="B21" s="119" t="s">
        <v>676</v>
      </c>
      <c r="C21" s="120">
        <v>4000</v>
      </c>
      <c r="D21" s="55">
        <v>1</v>
      </c>
      <c r="E21" s="120">
        <v>4000</v>
      </c>
      <c r="F21" s="55"/>
    </row>
    <row r="22" spans="1:6" ht="13.2">
      <c r="A22" s="70">
        <v>5</v>
      </c>
      <c r="B22" s="119" t="s">
        <v>677</v>
      </c>
      <c r="C22" s="120">
        <v>5560</v>
      </c>
      <c r="D22" s="55">
        <v>1</v>
      </c>
      <c r="E22" s="120">
        <v>5560</v>
      </c>
      <c r="F22" s="121" t="s">
        <v>678</v>
      </c>
    </row>
    <row r="23" spans="1:6" ht="13.2">
      <c r="A23" s="70">
        <v>6</v>
      </c>
      <c r="B23" s="119" t="s">
        <v>679</v>
      </c>
      <c r="C23" s="120">
        <v>4000</v>
      </c>
      <c r="D23" s="55">
        <v>1</v>
      </c>
      <c r="E23" s="120">
        <v>4000</v>
      </c>
      <c r="F23" s="121" t="s">
        <v>680</v>
      </c>
    </row>
    <row r="24" spans="1:6" ht="13.2">
      <c r="A24" s="70">
        <v>7</v>
      </c>
      <c r="B24" s="119" t="s">
        <v>681</v>
      </c>
      <c r="C24" s="120">
        <v>7349</v>
      </c>
      <c r="D24" s="55">
        <v>1</v>
      </c>
      <c r="E24" s="120">
        <v>7349</v>
      </c>
      <c r="F24" s="121" t="s">
        <v>682</v>
      </c>
    </row>
    <row r="25" spans="1:6" ht="13.2">
      <c r="A25" s="70">
        <v>8</v>
      </c>
      <c r="B25" s="119" t="s">
        <v>683</v>
      </c>
      <c r="C25" s="120">
        <v>880</v>
      </c>
      <c r="D25" s="55">
        <v>1</v>
      </c>
      <c r="E25" s="120">
        <v>880</v>
      </c>
      <c r="F25" s="121" t="s">
        <v>684</v>
      </c>
    </row>
    <row r="26" spans="1:6" ht="13.2">
      <c r="A26" s="70">
        <v>9</v>
      </c>
      <c r="B26" s="119" t="s">
        <v>685</v>
      </c>
      <c r="C26" s="120">
        <v>1280</v>
      </c>
      <c r="D26" s="55">
        <v>1</v>
      </c>
      <c r="E26" s="120">
        <v>1280</v>
      </c>
      <c r="F26" s="121" t="s">
        <v>686</v>
      </c>
    </row>
    <row r="27" spans="1:6" ht="13.2">
      <c r="A27" s="70">
        <v>10</v>
      </c>
      <c r="B27" s="119" t="s">
        <v>687</v>
      </c>
      <c r="C27" s="120">
        <v>295</v>
      </c>
      <c r="D27" s="55">
        <v>1</v>
      </c>
      <c r="E27" s="120">
        <v>295</v>
      </c>
      <c r="F27" s="121" t="s">
        <v>688</v>
      </c>
    </row>
    <row r="28" spans="1:6" ht="13.2">
      <c r="A28" s="70">
        <v>11</v>
      </c>
      <c r="B28" s="119" t="s">
        <v>689</v>
      </c>
      <c r="C28" s="120">
        <v>300</v>
      </c>
      <c r="D28" s="55">
        <v>1</v>
      </c>
      <c r="E28" s="120">
        <v>300</v>
      </c>
      <c r="F28" s="64"/>
    </row>
    <row r="29" spans="1:6" ht="13.2">
      <c r="A29" s="70">
        <v>12</v>
      </c>
      <c r="B29" s="119" t="s">
        <v>690</v>
      </c>
      <c r="C29" s="120">
        <v>150</v>
      </c>
      <c r="D29" s="55">
        <v>1</v>
      </c>
      <c r="E29" s="120">
        <v>150</v>
      </c>
      <c r="F29" s="64"/>
    </row>
    <row r="30" spans="1:6" ht="13.2">
      <c r="A30" s="70">
        <v>13</v>
      </c>
      <c r="B30" s="119" t="s">
        <v>691</v>
      </c>
      <c r="C30" s="120">
        <v>100</v>
      </c>
      <c r="D30" s="55">
        <v>1</v>
      </c>
      <c r="E30" s="120">
        <v>100</v>
      </c>
      <c r="F30" s="64"/>
    </row>
    <row r="31" spans="1:6" ht="13.2">
      <c r="A31" s="70">
        <v>14</v>
      </c>
      <c r="B31" s="119" t="s">
        <v>692</v>
      </c>
      <c r="C31" s="120">
        <v>200</v>
      </c>
      <c r="D31" s="55">
        <v>1</v>
      </c>
      <c r="E31" s="120">
        <v>200</v>
      </c>
      <c r="F31" s="64"/>
    </row>
    <row r="32" spans="1:6" ht="13.2">
      <c r="A32" s="70">
        <v>15</v>
      </c>
      <c r="B32" s="119" t="s">
        <v>693</v>
      </c>
      <c r="C32" s="120">
        <v>100</v>
      </c>
      <c r="D32" s="55">
        <v>1</v>
      </c>
      <c r="E32" s="120">
        <v>100</v>
      </c>
      <c r="F32" s="64"/>
    </row>
    <row r="33" spans="1:6" ht="13.2">
      <c r="A33" s="70">
        <v>16</v>
      </c>
      <c r="B33" s="119" t="s">
        <v>694</v>
      </c>
      <c r="C33" s="120">
        <v>100</v>
      </c>
      <c r="D33" s="55">
        <v>1</v>
      </c>
      <c r="E33" s="120">
        <v>100</v>
      </c>
      <c r="F33" s="64"/>
    </row>
    <row r="34" spans="1:6" ht="13.2">
      <c r="A34" s="70">
        <v>17</v>
      </c>
      <c r="B34" s="119" t="s">
        <v>693</v>
      </c>
      <c r="C34" s="120">
        <v>100</v>
      </c>
      <c r="D34" s="55">
        <v>1</v>
      </c>
      <c r="E34" s="120">
        <v>100</v>
      </c>
      <c r="F34" s="64"/>
    </row>
    <row r="35" spans="1:6" ht="13.2">
      <c r="A35" s="113"/>
      <c r="B35" s="122"/>
      <c r="C35" s="123"/>
      <c r="D35" s="69" t="s">
        <v>5</v>
      </c>
      <c r="E35" s="124">
        <f>SUM(E17:E34)</f>
        <v>61077</v>
      </c>
      <c r="F35" s="58"/>
    </row>
    <row r="36" spans="1:6" ht="13.2">
      <c r="A36" s="113"/>
      <c r="E36" s="125"/>
    </row>
    <row r="37" spans="1:6" ht="13.2">
      <c r="A37" s="234" t="s">
        <v>34</v>
      </c>
      <c r="B37" s="226"/>
      <c r="C37" s="226"/>
      <c r="D37" s="226"/>
      <c r="E37" s="226"/>
      <c r="F37" s="227"/>
    </row>
    <row r="38" spans="1:6" ht="13.2">
      <c r="A38" s="126"/>
      <c r="B38" s="126"/>
      <c r="C38" s="126"/>
      <c r="D38" s="126"/>
      <c r="E38" s="126"/>
      <c r="F38" s="126"/>
    </row>
    <row r="39" spans="1:6" ht="30.75" customHeight="1">
      <c r="A39" s="234" t="s">
        <v>110</v>
      </c>
      <c r="B39" s="226"/>
      <c r="C39" s="226"/>
      <c r="D39" s="226"/>
      <c r="E39" s="226"/>
      <c r="F39" s="227"/>
    </row>
    <row r="40" spans="1:6" ht="13.2">
      <c r="A40" s="53"/>
    </row>
    <row r="41" spans="1:6" ht="13.2">
      <c r="A41" s="54" t="s">
        <v>696</v>
      </c>
    </row>
    <row r="42" spans="1:6" ht="13.2">
      <c r="A42" s="55" t="s">
        <v>697</v>
      </c>
    </row>
    <row r="43" spans="1:6" ht="13.2"/>
    <row r="44" spans="1:6" ht="13.2">
      <c r="A44" s="54" t="s">
        <v>698</v>
      </c>
    </row>
    <row r="45" spans="1:6" ht="13.2">
      <c r="A45" s="55" t="s">
        <v>699</v>
      </c>
    </row>
    <row r="46" spans="1:6" ht="13.2">
      <c r="A46" s="55" t="s">
        <v>194</v>
      </c>
    </row>
    <row r="47" spans="1:6" ht="13.2">
      <c r="A47" s="54" t="s">
        <v>44</v>
      </c>
      <c r="B47" s="54" t="s">
        <v>46</v>
      </c>
      <c r="C47" s="54" t="s">
        <v>47</v>
      </c>
      <c r="D47" s="54" t="s">
        <v>48</v>
      </c>
      <c r="E47" s="54" t="s">
        <v>9</v>
      </c>
    </row>
    <row r="48" spans="1:6" ht="13.2">
      <c r="A48" s="57">
        <v>1</v>
      </c>
      <c r="B48" s="55" t="s">
        <v>700</v>
      </c>
      <c r="C48" s="55">
        <v>2500</v>
      </c>
      <c r="D48" s="57">
        <v>1</v>
      </c>
      <c r="E48" s="57">
        <v>2500</v>
      </c>
    </row>
    <row r="49" spans="1:5" ht="13.2">
      <c r="A49" s="57">
        <v>2</v>
      </c>
      <c r="B49" s="55" t="s">
        <v>701</v>
      </c>
      <c r="C49" s="57">
        <v>1500</v>
      </c>
      <c r="D49" s="57">
        <v>1</v>
      </c>
      <c r="E49" s="57">
        <f>C49*D49</f>
        <v>1500</v>
      </c>
    </row>
    <row r="50" spans="1:5" ht="13.2">
      <c r="A50" s="57">
        <v>3</v>
      </c>
      <c r="B50" s="55" t="s">
        <v>702</v>
      </c>
      <c r="C50" s="57">
        <v>1000</v>
      </c>
      <c r="D50" s="57">
        <v>1</v>
      </c>
      <c r="E50" s="57">
        <v>1000</v>
      </c>
    </row>
    <row r="51" spans="1:5" ht="13.2">
      <c r="A51" s="128"/>
      <c r="C51" s="128"/>
      <c r="D51" s="61" t="s">
        <v>5</v>
      </c>
      <c r="E51" s="61">
        <f>SUM(E48:E50)</f>
        <v>5000</v>
      </c>
    </row>
    <row r="52" spans="1:5" ht="13.2">
      <c r="A52" s="54" t="s">
        <v>704</v>
      </c>
      <c r="C52" s="128"/>
      <c r="D52" s="128"/>
      <c r="E52" s="128"/>
    </row>
    <row r="53" spans="1:5" ht="13.2">
      <c r="A53" s="54" t="s">
        <v>707</v>
      </c>
      <c r="C53" s="128"/>
      <c r="D53" s="128"/>
      <c r="E53" s="128"/>
    </row>
    <row r="54" spans="1:5" ht="13.2">
      <c r="A54" s="54" t="s">
        <v>44</v>
      </c>
      <c r="B54" s="54" t="s">
        <v>46</v>
      </c>
      <c r="C54" s="54" t="s">
        <v>47</v>
      </c>
      <c r="D54" s="53"/>
      <c r="E54" s="128"/>
    </row>
    <row r="55" spans="1:5" ht="13.2">
      <c r="A55" s="55">
        <v>1</v>
      </c>
      <c r="B55" s="55" t="s">
        <v>709</v>
      </c>
      <c r="C55" s="112">
        <v>12000</v>
      </c>
    </row>
    <row r="56" spans="1:5" ht="13.2">
      <c r="A56" s="55">
        <v>2</v>
      </c>
      <c r="B56" s="55" t="s">
        <v>711</v>
      </c>
      <c r="C56" s="112">
        <v>15500</v>
      </c>
    </row>
    <row r="57" spans="1:5" ht="13.2">
      <c r="A57" s="55">
        <v>3</v>
      </c>
      <c r="B57" s="55" t="s">
        <v>713</v>
      </c>
      <c r="C57" s="55">
        <v>7500</v>
      </c>
    </row>
    <row r="58" spans="1:5" ht="13.2">
      <c r="A58" s="55">
        <v>4</v>
      </c>
      <c r="B58" s="55" t="s">
        <v>714</v>
      </c>
      <c r="C58" s="55">
        <v>1500</v>
      </c>
    </row>
    <row r="59" spans="1:5" ht="13.2">
      <c r="A59" s="55">
        <v>5</v>
      </c>
      <c r="B59" s="55" t="s">
        <v>716</v>
      </c>
      <c r="C59" s="55">
        <v>2000</v>
      </c>
    </row>
    <row r="60" spans="1:5" ht="13.2">
      <c r="A60" s="55">
        <v>6</v>
      </c>
      <c r="B60" s="55" t="s">
        <v>718</v>
      </c>
      <c r="C60" s="55">
        <v>1500</v>
      </c>
    </row>
    <row r="61" spans="1:5" ht="13.2">
      <c r="B61" s="69" t="s">
        <v>5</v>
      </c>
      <c r="C61" s="129">
        <f>SUM(C55:C60)</f>
        <v>40000</v>
      </c>
    </row>
    <row r="62" spans="1:5" ht="13.2"/>
    <row r="63" spans="1:5" ht="13.2">
      <c r="A63" s="53"/>
    </row>
    <row r="64" spans="1:5" ht="13.2"/>
    <row r="65" spans="2:3" ht="13.2"/>
    <row r="66" spans="2:3" ht="13.2"/>
    <row r="67" spans="2:3" ht="13.2"/>
    <row r="68" spans="2:3" ht="13.2"/>
    <row r="69" spans="2:3" ht="13.2"/>
    <row r="70" spans="2:3" ht="13.2">
      <c r="B70" s="130"/>
    </row>
    <row r="71" spans="2:3" ht="13.2"/>
    <row r="72" spans="2:3" ht="13.2"/>
    <row r="73" spans="2:3" ht="13.2"/>
    <row r="74" spans="2:3" ht="13.2"/>
    <row r="75" spans="2:3" ht="13.2"/>
    <row r="76" spans="2:3" ht="13.2">
      <c r="C76" s="125"/>
    </row>
    <row r="77" spans="2:3" ht="13.2">
      <c r="C77" s="125"/>
    </row>
    <row r="78" spans="2:3" ht="13.2"/>
    <row r="79" spans="2:3" ht="13.2"/>
    <row r="80" spans="2:3"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row r="372" ht="13.2"/>
    <row r="373" ht="13.2"/>
    <row r="374" ht="13.2"/>
    <row r="375" ht="13.2"/>
    <row r="376" ht="13.2"/>
    <row r="377" ht="13.2"/>
    <row r="378" ht="13.2"/>
    <row r="379" ht="13.2"/>
    <row r="380" ht="13.2"/>
    <row r="381" ht="13.2"/>
    <row r="382" ht="13.2"/>
    <row r="383" ht="13.2"/>
    <row r="384" ht="13.2"/>
    <row r="385" ht="13.2"/>
    <row r="386" ht="13.2"/>
    <row r="387" ht="13.2"/>
    <row r="388" ht="13.2"/>
    <row r="389" ht="13.2"/>
    <row r="390" ht="13.2"/>
    <row r="391" ht="13.2"/>
    <row r="392" ht="13.2"/>
    <row r="393" ht="13.2"/>
    <row r="394" ht="13.2"/>
    <row r="395" ht="13.2"/>
    <row r="396" ht="13.2"/>
    <row r="397" ht="13.2"/>
    <row r="398" ht="13.2"/>
    <row r="399" ht="13.2"/>
    <row r="400" ht="13.2"/>
    <row r="401" ht="13.2"/>
    <row r="402" ht="13.2"/>
    <row r="403" ht="13.2"/>
    <row r="404" ht="13.2"/>
    <row r="405" ht="13.2"/>
    <row r="406" ht="13.2"/>
    <row r="407" ht="13.2"/>
    <row r="408" ht="13.2"/>
    <row r="409" ht="13.2"/>
    <row r="410" ht="13.2"/>
    <row r="411" ht="13.2"/>
    <row r="412" ht="13.2"/>
    <row r="413" ht="13.2"/>
    <row r="414" ht="13.2"/>
    <row r="415" ht="13.2"/>
    <row r="416" ht="13.2"/>
    <row r="417" ht="13.2"/>
    <row r="418" ht="13.2"/>
    <row r="419" ht="13.2"/>
    <row r="420" ht="13.2"/>
    <row r="421" ht="13.2"/>
    <row r="422" ht="13.2"/>
    <row r="423" ht="13.2"/>
    <row r="424" ht="13.2"/>
    <row r="425" ht="13.2"/>
    <row r="426" ht="13.2"/>
    <row r="427" ht="13.2"/>
    <row r="428" ht="13.2"/>
    <row r="429" ht="13.2"/>
    <row r="430" ht="13.2"/>
    <row r="431" ht="13.2"/>
    <row r="432" ht="13.2"/>
    <row r="433" ht="13.2"/>
    <row r="434" ht="13.2"/>
    <row r="435" ht="13.2"/>
    <row r="436" ht="13.2"/>
    <row r="437" ht="13.2"/>
    <row r="438" ht="13.2"/>
    <row r="439" ht="13.2"/>
    <row r="440" ht="13.2"/>
    <row r="441" ht="13.2"/>
    <row r="442" ht="13.2"/>
    <row r="443" ht="13.2"/>
    <row r="444" ht="13.2"/>
    <row r="445" ht="13.2"/>
    <row r="446" ht="13.2"/>
    <row r="447" ht="13.2"/>
    <row r="448" ht="13.2"/>
    <row r="449" ht="13.2"/>
    <row r="450" ht="13.2"/>
    <row r="451" ht="13.2"/>
    <row r="452" ht="13.2"/>
    <row r="453" ht="13.2"/>
    <row r="454" ht="13.2"/>
    <row r="455" ht="13.2"/>
    <row r="456" ht="13.2"/>
    <row r="457" ht="13.2"/>
    <row r="458" ht="13.2"/>
    <row r="459" ht="13.2"/>
    <row r="460" ht="13.2"/>
    <row r="461" ht="13.2"/>
    <row r="462" ht="13.2"/>
    <row r="463" ht="13.2"/>
    <row r="464" ht="13.2"/>
    <row r="465" ht="13.2"/>
    <row r="466" ht="13.2"/>
    <row r="467" ht="13.2"/>
    <row r="468" ht="13.2"/>
    <row r="469" ht="13.2"/>
    <row r="470" ht="13.2"/>
    <row r="471" ht="13.2"/>
    <row r="472" ht="13.2"/>
    <row r="473" ht="13.2"/>
    <row r="474" ht="13.2"/>
    <row r="475" ht="13.2"/>
    <row r="476" ht="13.2"/>
    <row r="477" ht="13.2"/>
    <row r="478" ht="13.2"/>
    <row r="479" ht="13.2"/>
    <row r="480" ht="13.2"/>
    <row r="481" ht="13.2"/>
    <row r="482" ht="13.2"/>
    <row r="483" ht="13.2"/>
    <row r="484" ht="13.2"/>
    <row r="485" ht="13.2"/>
    <row r="486" ht="13.2"/>
    <row r="487" ht="13.2"/>
    <row r="488" ht="13.2"/>
    <row r="489" ht="13.2"/>
    <row r="490" ht="13.2"/>
    <row r="491" ht="13.2"/>
    <row r="492" ht="13.2"/>
    <row r="493" ht="13.2"/>
    <row r="494" ht="13.2"/>
    <row r="495" ht="13.2"/>
    <row r="496" ht="13.2"/>
    <row r="497" ht="13.2"/>
    <row r="498" ht="13.2"/>
    <row r="499" ht="13.2"/>
    <row r="500" ht="13.2"/>
    <row r="501" ht="13.2"/>
    <row r="502" ht="13.2"/>
    <row r="503" ht="13.2"/>
    <row r="504" ht="13.2"/>
    <row r="505" ht="13.2"/>
    <row r="506" ht="13.2"/>
    <row r="507" ht="13.2"/>
    <row r="508" ht="13.2"/>
    <row r="509" ht="13.2"/>
    <row r="510" ht="13.2"/>
    <row r="511" ht="13.2"/>
    <row r="512" ht="13.2"/>
    <row r="513" ht="13.2"/>
    <row r="514" ht="13.2"/>
    <row r="515" ht="13.2"/>
    <row r="516" ht="13.2"/>
    <row r="517" ht="13.2"/>
    <row r="518" ht="13.2"/>
    <row r="519" ht="13.2"/>
    <row r="520" ht="13.2"/>
    <row r="521" ht="13.2"/>
    <row r="522" ht="13.2"/>
    <row r="523" ht="13.2"/>
    <row r="524" ht="13.2"/>
    <row r="525" ht="13.2"/>
    <row r="526" ht="13.2"/>
    <row r="527" ht="13.2"/>
    <row r="528" ht="13.2"/>
    <row r="529" ht="13.2"/>
    <row r="530" ht="13.2"/>
    <row r="531" ht="13.2"/>
    <row r="532" ht="13.2"/>
    <row r="533" ht="13.2"/>
    <row r="534" ht="13.2"/>
    <row r="535" ht="13.2"/>
    <row r="536" ht="13.2"/>
    <row r="537" ht="13.2"/>
    <row r="538" ht="13.2"/>
    <row r="539" ht="13.2"/>
    <row r="540" ht="13.2"/>
    <row r="541" ht="13.2"/>
    <row r="542" ht="13.2"/>
    <row r="543" ht="13.2"/>
    <row r="544" ht="13.2"/>
    <row r="545" ht="13.2"/>
    <row r="546" ht="13.2"/>
    <row r="547" ht="13.2"/>
    <row r="548" ht="13.2"/>
    <row r="549" ht="13.2"/>
    <row r="550" ht="13.2"/>
    <row r="551" ht="13.2"/>
    <row r="552" ht="13.2"/>
    <row r="553" ht="13.2"/>
    <row r="554" ht="13.2"/>
    <row r="555" ht="13.2"/>
    <row r="556" ht="13.2"/>
    <row r="557" ht="13.2"/>
    <row r="558" ht="13.2"/>
    <row r="559" ht="13.2"/>
    <row r="560" ht="13.2"/>
    <row r="561" ht="13.2"/>
    <row r="562" ht="13.2"/>
    <row r="563" ht="13.2"/>
    <row r="564" ht="13.2"/>
    <row r="565" ht="13.2"/>
    <row r="566" ht="13.2"/>
    <row r="567" ht="13.2"/>
    <row r="568" ht="13.2"/>
    <row r="569" ht="13.2"/>
    <row r="570" ht="13.2"/>
    <row r="571" ht="13.2"/>
    <row r="572" ht="13.2"/>
    <row r="573" ht="13.2"/>
    <row r="574" ht="13.2"/>
    <row r="575" ht="13.2"/>
    <row r="576" ht="13.2"/>
    <row r="577" ht="13.2"/>
    <row r="578" ht="13.2"/>
    <row r="579" ht="13.2"/>
    <row r="580" ht="13.2"/>
    <row r="581" ht="13.2"/>
    <row r="582" ht="13.2"/>
    <row r="583" ht="13.2"/>
    <row r="584" ht="13.2"/>
    <row r="585" ht="13.2"/>
    <row r="586" ht="13.2"/>
    <row r="587" ht="13.2"/>
    <row r="588" ht="13.2"/>
    <row r="589" ht="13.2"/>
    <row r="590" ht="13.2"/>
    <row r="591" ht="13.2"/>
    <row r="592" ht="13.2"/>
    <row r="593" ht="13.2"/>
    <row r="594" ht="13.2"/>
    <row r="595" ht="13.2"/>
    <row r="596" ht="13.2"/>
    <row r="597" ht="13.2"/>
    <row r="598" ht="13.2"/>
    <row r="599" ht="13.2"/>
    <row r="600" ht="13.2"/>
    <row r="601" ht="13.2"/>
    <row r="602" ht="13.2"/>
    <row r="603" ht="13.2"/>
    <row r="604" ht="13.2"/>
    <row r="605" ht="13.2"/>
    <row r="606" ht="13.2"/>
    <row r="607" ht="13.2"/>
    <row r="608" ht="13.2"/>
    <row r="609" ht="13.2"/>
    <row r="610" ht="13.2"/>
    <row r="611" ht="13.2"/>
    <row r="612" ht="13.2"/>
    <row r="613" ht="13.2"/>
    <row r="614" ht="13.2"/>
    <row r="615" ht="13.2"/>
    <row r="616" ht="13.2"/>
    <row r="617" ht="13.2"/>
    <row r="618" ht="13.2"/>
    <row r="619" ht="13.2"/>
    <row r="620" ht="13.2"/>
    <row r="621" ht="13.2"/>
    <row r="622" ht="13.2"/>
    <row r="623" ht="13.2"/>
    <row r="624" ht="13.2"/>
    <row r="625" ht="13.2"/>
    <row r="626" ht="13.2"/>
    <row r="627" ht="13.2"/>
    <row r="628" ht="13.2"/>
    <row r="629" ht="13.2"/>
    <row r="630" ht="13.2"/>
    <row r="631" ht="13.2"/>
    <row r="632" ht="13.2"/>
    <row r="633" ht="13.2"/>
    <row r="634" ht="13.2"/>
    <row r="635" ht="13.2"/>
    <row r="636" ht="13.2"/>
    <row r="637" ht="13.2"/>
    <row r="638" ht="13.2"/>
    <row r="639" ht="13.2"/>
    <row r="640" ht="13.2"/>
    <row r="641" ht="13.2"/>
    <row r="642" ht="13.2"/>
    <row r="643" ht="13.2"/>
    <row r="644" ht="13.2"/>
    <row r="645" ht="13.2"/>
    <row r="646" ht="13.2"/>
    <row r="647" ht="13.2"/>
    <row r="648" ht="13.2"/>
    <row r="649" ht="13.2"/>
    <row r="650" ht="13.2"/>
    <row r="651" ht="13.2"/>
    <row r="652" ht="13.2"/>
    <row r="653" ht="13.2"/>
    <row r="654" ht="13.2"/>
    <row r="655" ht="13.2"/>
    <row r="656" ht="13.2"/>
    <row r="657" ht="13.2"/>
    <row r="658" ht="13.2"/>
    <row r="659" ht="13.2"/>
    <row r="660" ht="13.2"/>
    <row r="661" ht="13.2"/>
    <row r="662" ht="13.2"/>
    <row r="663" ht="13.2"/>
    <row r="664" ht="13.2"/>
    <row r="665" ht="13.2"/>
    <row r="666" ht="13.2"/>
    <row r="667" ht="13.2"/>
    <row r="668" ht="13.2"/>
    <row r="669" ht="13.2"/>
    <row r="670" ht="13.2"/>
    <row r="671" ht="13.2"/>
    <row r="672" ht="13.2"/>
    <row r="673" ht="13.2"/>
    <row r="674" ht="13.2"/>
    <row r="675" ht="13.2"/>
    <row r="676" ht="13.2"/>
    <row r="677" ht="13.2"/>
    <row r="678" ht="13.2"/>
    <row r="679" ht="13.2"/>
    <row r="680" ht="13.2"/>
    <row r="681" ht="13.2"/>
    <row r="682" ht="13.2"/>
    <row r="683" ht="13.2"/>
    <row r="684" ht="13.2"/>
    <row r="685" ht="13.2"/>
    <row r="686" ht="13.2"/>
    <row r="687" ht="13.2"/>
    <row r="688" ht="13.2"/>
    <row r="689" ht="13.2"/>
    <row r="690" ht="13.2"/>
    <row r="691" ht="13.2"/>
    <row r="692" ht="13.2"/>
    <row r="693" ht="13.2"/>
    <row r="694" ht="13.2"/>
    <row r="695" ht="13.2"/>
    <row r="696" ht="13.2"/>
    <row r="697" ht="13.2"/>
    <row r="698" ht="13.2"/>
    <row r="699" ht="13.2"/>
    <row r="700" ht="13.2"/>
    <row r="701" ht="13.2"/>
    <row r="702" ht="13.2"/>
    <row r="703" ht="13.2"/>
    <row r="704" ht="13.2"/>
    <row r="705" ht="13.2"/>
    <row r="706" ht="13.2"/>
    <row r="707" ht="13.2"/>
    <row r="708" ht="13.2"/>
    <row r="709" ht="13.2"/>
    <row r="710" ht="13.2"/>
    <row r="711" ht="13.2"/>
    <row r="712" ht="13.2"/>
    <row r="713" ht="13.2"/>
    <row r="714" ht="13.2"/>
    <row r="715" ht="13.2"/>
    <row r="716" ht="13.2"/>
    <row r="717" ht="13.2"/>
    <row r="718" ht="13.2"/>
    <row r="719" ht="13.2"/>
    <row r="720" ht="13.2"/>
    <row r="721" ht="13.2"/>
    <row r="722" ht="13.2"/>
    <row r="723" ht="13.2"/>
    <row r="724" ht="13.2"/>
    <row r="725" ht="13.2"/>
    <row r="726" ht="13.2"/>
    <row r="727" ht="13.2"/>
    <row r="728" ht="13.2"/>
    <row r="729" ht="13.2"/>
    <row r="730" ht="13.2"/>
    <row r="731" ht="13.2"/>
    <row r="732" ht="13.2"/>
    <row r="733" ht="13.2"/>
    <row r="734" ht="13.2"/>
    <row r="735" ht="13.2"/>
    <row r="736" ht="13.2"/>
    <row r="737" ht="13.2"/>
    <row r="738" ht="13.2"/>
    <row r="739" ht="13.2"/>
    <row r="740" ht="13.2"/>
    <row r="741" ht="13.2"/>
    <row r="742" ht="13.2"/>
    <row r="743" ht="13.2"/>
    <row r="744" ht="13.2"/>
    <row r="745" ht="13.2"/>
    <row r="746" ht="13.2"/>
    <row r="747" ht="13.2"/>
    <row r="748" ht="13.2"/>
    <row r="749" ht="13.2"/>
    <row r="750" ht="13.2"/>
    <row r="751" ht="13.2"/>
    <row r="752" ht="13.2"/>
    <row r="753" ht="13.2"/>
    <row r="754" ht="13.2"/>
    <row r="755" ht="13.2"/>
    <row r="756" ht="13.2"/>
    <row r="757" ht="13.2"/>
    <row r="758" ht="13.2"/>
    <row r="759" ht="13.2"/>
    <row r="760" ht="13.2"/>
    <row r="761" ht="13.2"/>
    <row r="762" ht="13.2"/>
    <row r="763" ht="13.2"/>
    <row r="764" ht="13.2"/>
    <row r="765" ht="13.2"/>
    <row r="766" ht="13.2"/>
    <row r="767" ht="13.2"/>
    <row r="768" ht="13.2"/>
    <row r="769" ht="13.2"/>
    <row r="770" ht="13.2"/>
    <row r="771" ht="13.2"/>
    <row r="772" ht="13.2"/>
    <row r="773" ht="13.2"/>
    <row r="774" ht="13.2"/>
    <row r="775" ht="13.2"/>
    <row r="776" ht="13.2"/>
    <row r="777" ht="13.2"/>
    <row r="778" ht="13.2"/>
    <row r="779" ht="13.2"/>
    <row r="780" ht="13.2"/>
    <row r="781" ht="13.2"/>
    <row r="782" ht="13.2"/>
    <row r="783" ht="13.2"/>
    <row r="784" ht="13.2"/>
    <row r="785" ht="13.2"/>
    <row r="786" ht="13.2"/>
    <row r="787" ht="13.2"/>
    <row r="788" ht="13.2"/>
    <row r="789" ht="13.2"/>
    <row r="790" ht="13.2"/>
    <row r="791" ht="13.2"/>
    <row r="792" ht="13.2"/>
    <row r="793" ht="13.2"/>
    <row r="794" ht="13.2"/>
    <row r="795" ht="13.2"/>
    <row r="796" ht="13.2"/>
    <row r="797" ht="13.2"/>
    <row r="798" ht="13.2"/>
    <row r="799" ht="13.2"/>
    <row r="800" ht="13.2"/>
    <row r="801" ht="13.2"/>
    <row r="802" ht="13.2"/>
    <row r="803" ht="13.2"/>
    <row r="804" ht="13.2"/>
    <row r="805" ht="13.2"/>
    <row r="806" ht="13.2"/>
    <row r="807" ht="13.2"/>
    <row r="808" ht="13.2"/>
    <row r="809" ht="13.2"/>
    <row r="810" ht="13.2"/>
    <row r="811" ht="13.2"/>
    <row r="812" ht="13.2"/>
    <row r="813" ht="13.2"/>
    <row r="814" ht="13.2"/>
    <row r="815" ht="13.2"/>
    <row r="816" ht="13.2"/>
    <row r="817" ht="13.2"/>
    <row r="818" ht="13.2"/>
    <row r="819" ht="13.2"/>
    <row r="820" ht="13.2"/>
    <row r="821" ht="13.2"/>
    <row r="822" ht="13.2"/>
    <row r="823" ht="13.2"/>
    <row r="824" ht="13.2"/>
    <row r="825" ht="13.2"/>
    <row r="826" ht="13.2"/>
    <row r="827" ht="13.2"/>
    <row r="828" ht="13.2"/>
    <row r="829" ht="13.2"/>
    <row r="830" ht="13.2"/>
    <row r="831" ht="13.2"/>
    <row r="832" ht="13.2"/>
    <row r="833" ht="13.2"/>
    <row r="834" ht="13.2"/>
    <row r="835" ht="13.2"/>
    <row r="836" ht="13.2"/>
    <row r="837" ht="13.2"/>
    <row r="838" ht="13.2"/>
    <row r="839" ht="13.2"/>
    <row r="840" ht="13.2"/>
    <row r="841" ht="13.2"/>
    <row r="842" ht="13.2"/>
    <row r="843" ht="13.2"/>
    <row r="844" ht="13.2"/>
    <row r="845" ht="13.2"/>
    <row r="846" ht="13.2"/>
    <row r="847" ht="13.2"/>
    <row r="848" ht="13.2"/>
    <row r="849" ht="13.2"/>
    <row r="850" ht="13.2"/>
    <row r="851" ht="13.2"/>
    <row r="852" ht="13.2"/>
    <row r="853" ht="13.2"/>
    <row r="854" ht="13.2"/>
    <row r="855" ht="13.2"/>
    <row r="856" ht="13.2"/>
    <row r="857" ht="13.2"/>
    <row r="858" ht="13.2"/>
    <row r="859" ht="13.2"/>
    <row r="860" ht="13.2"/>
    <row r="861" ht="13.2"/>
    <row r="862" ht="13.2"/>
    <row r="863" ht="13.2"/>
    <row r="864" ht="13.2"/>
    <row r="865" ht="13.2"/>
    <row r="866" ht="13.2"/>
    <row r="867" ht="13.2"/>
    <row r="868" ht="13.2"/>
    <row r="869" ht="13.2"/>
    <row r="870" ht="13.2"/>
    <row r="871" ht="13.2"/>
    <row r="872" ht="13.2"/>
    <row r="873" ht="13.2"/>
    <row r="874" ht="13.2"/>
    <row r="875" ht="13.2"/>
    <row r="876" ht="13.2"/>
    <row r="877" ht="13.2"/>
    <row r="878" ht="13.2"/>
    <row r="879" ht="13.2"/>
    <row r="880" ht="13.2"/>
    <row r="881" ht="13.2"/>
    <row r="882" ht="13.2"/>
    <row r="883" ht="13.2"/>
    <row r="884" ht="13.2"/>
    <row r="885" ht="13.2"/>
    <row r="886" ht="13.2"/>
    <row r="887" ht="13.2"/>
    <row r="888" ht="13.2"/>
    <row r="889" ht="13.2"/>
    <row r="890" ht="13.2"/>
    <row r="891" ht="13.2"/>
    <row r="892" ht="13.2"/>
    <row r="893" ht="13.2"/>
    <row r="894" ht="13.2"/>
    <row r="895" ht="13.2"/>
    <row r="896" ht="13.2"/>
    <row r="897" ht="13.2"/>
    <row r="898" ht="13.2"/>
    <row r="899" ht="13.2"/>
    <row r="900" ht="13.2"/>
    <row r="901" ht="13.2"/>
    <row r="902" ht="13.2"/>
    <row r="903" ht="13.2"/>
    <row r="904" ht="13.2"/>
    <row r="905" ht="13.2"/>
    <row r="906" ht="13.2"/>
    <row r="907" ht="13.2"/>
    <row r="908" ht="13.2"/>
    <row r="909" ht="13.2"/>
    <row r="910" ht="13.2"/>
    <row r="911" ht="13.2"/>
    <row r="912" ht="13.2"/>
    <row r="913" ht="13.2"/>
    <row r="914" ht="13.2"/>
    <row r="915" ht="13.2"/>
    <row r="916" ht="13.2"/>
    <row r="917" ht="13.2"/>
    <row r="918" ht="13.2"/>
    <row r="919" ht="13.2"/>
    <row r="920" ht="13.2"/>
    <row r="921" ht="13.2"/>
    <row r="922" ht="13.2"/>
    <row r="923" ht="13.2"/>
    <row r="924" ht="13.2"/>
    <row r="925" ht="13.2"/>
    <row r="926" ht="13.2"/>
    <row r="927" ht="13.2"/>
    <row r="928" ht="13.2"/>
    <row r="929" ht="13.2"/>
    <row r="930" ht="13.2"/>
    <row r="931" ht="13.2"/>
    <row r="932" ht="13.2"/>
    <row r="933" ht="13.2"/>
    <row r="934" ht="13.2"/>
    <row r="935" ht="13.2"/>
    <row r="936" ht="13.2"/>
    <row r="937" ht="13.2"/>
    <row r="938" ht="13.2"/>
    <row r="939" ht="13.2"/>
    <row r="940" ht="13.2"/>
    <row r="941" ht="13.2"/>
    <row r="942" ht="13.2"/>
    <row r="943" ht="13.2"/>
    <row r="944" ht="13.2"/>
    <row r="945" ht="13.2"/>
    <row r="946" ht="13.2"/>
    <row r="947" ht="13.2"/>
    <row r="948" ht="13.2"/>
    <row r="949" ht="13.2"/>
    <row r="950" ht="13.2"/>
    <row r="951" ht="13.2"/>
    <row r="952" ht="13.2"/>
    <row r="953" ht="13.2"/>
    <row r="954" ht="13.2"/>
    <row r="955" ht="13.2"/>
    <row r="956" ht="13.2"/>
    <row r="957" ht="13.2"/>
    <row r="958" ht="13.2"/>
    <row r="959" ht="13.2"/>
    <row r="960" ht="13.2"/>
    <row r="961" ht="13.2"/>
    <row r="962" ht="13.2"/>
    <row r="963" ht="13.2"/>
    <row r="964" ht="13.2"/>
    <row r="965" ht="13.2"/>
    <row r="966" ht="13.2"/>
    <row r="967" ht="13.2"/>
    <row r="968" ht="13.2"/>
    <row r="969" ht="13.2"/>
    <row r="970" ht="13.2"/>
    <row r="971" ht="13.2"/>
    <row r="972" ht="13.2"/>
    <row r="973" ht="13.2"/>
    <row r="974" ht="13.2"/>
    <row r="975" ht="13.2"/>
    <row r="976" ht="13.2"/>
    <row r="977" ht="13.2"/>
    <row r="978" ht="13.2"/>
    <row r="979" ht="13.2"/>
    <row r="980" ht="13.2"/>
    <row r="981" ht="13.2"/>
    <row r="982" ht="13.2"/>
    <row r="983" ht="13.2"/>
    <row r="984" ht="13.2"/>
    <row r="985" ht="13.2"/>
    <row r="986" ht="13.2"/>
    <row r="987" ht="13.2"/>
  </sheetData>
  <mergeCells count="3">
    <mergeCell ref="A16:F16"/>
    <mergeCell ref="A37:F37"/>
    <mergeCell ref="A39:F39"/>
  </mergeCells>
  <hyperlinks>
    <hyperlink ref="F18" r:id="rId1" xr:uid="{00000000-0004-0000-0800-000000000000}"/>
    <hyperlink ref="F19" r:id="rId2" xr:uid="{00000000-0004-0000-0800-000001000000}"/>
    <hyperlink ref="F20" r:id="rId3" xr:uid="{00000000-0004-0000-0800-000002000000}"/>
    <hyperlink ref="F22" r:id="rId4" xr:uid="{00000000-0004-0000-0800-000003000000}"/>
    <hyperlink ref="F23" r:id="rId5" xr:uid="{00000000-0004-0000-0800-000004000000}"/>
    <hyperlink ref="F24" r:id="rId6" xr:uid="{00000000-0004-0000-0800-000005000000}"/>
    <hyperlink ref="F25" r:id="rId7" xr:uid="{00000000-0004-0000-0800-000006000000}"/>
    <hyperlink ref="F26" r:id="rId8" xr:uid="{00000000-0004-0000-0800-000007000000}"/>
    <hyperlink ref="F27" r:id="rId9" xr:uid="{00000000-0004-0000-0800-000008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87"/>
  <sheetViews>
    <sheetView topLeftCell="AE1" workbookViewId="0"/>
  </sheetViews>
  <sheetFormatPr defaultColWidth="12.6640625" defaultRowHeight="15.75" customHeight="1"/>
  <cols>
    <col min="1" max="1" width="56.109375" customWidth="1"/>
    <col min="2" max="2" width="58.109375" customWidth="1"/>
    <col min="3" max="3" width="17.6640625" customWidth="1"/>
    <col min="4" max="4" width="15.77734375" customWidth="1"/>
    <col min="5" max="5" width="16.109375" customWidth="1"/>
    <col min="6" max="6" width="27.21875" customWidth="1"/>
    <col min="7" max="7" width="29.77734375" customWidth="1"/>
  </cols>
  <sheetData>
    <row r="1" spans="1:26" ht="13.2">
      <c r="A1" s="16"/>
      <c r="B1" s="4"/>
      <c r="C1" s="4"/>
      <c r="D1" s="4"/>
      <c r="E1" s="4"/>
      <c r="F1" s="4"/>
      <c r="G1" s="4"/>
      <c r="H1" s="4"/>
      <c r="I1" s="4"/>
      <c r="J1" s="4"/>
      <c r="K1" s="4"/>
      <c r="L1" s="4"/>
      <c r="M1" s="4"/>
      <c r="N1" s="4"/>
      <c r="O1" s="4"/>
      <c r="P1" s="4"/>
      <c r="Q1" s="4"/>
      <c r="R1" s="4"/>
      <c r="S1" s="4"/>
      <c r="T1" s="4"/>
      <c r="U1" s="4"/>
      <c r="V1" s="4"/>
      <c r="W1" s="4"/>
      <c r="X1" s="4"/>
      <c r="Y1" s="4"/>
      <c r="Z1" s="4"/>
    </row>
    <row r="2" spans="1:26" ht="13.2">
      <c r="A2" s="8" t="s">
        <v>2</v>
      </c>
      <c r="B2" s="8" t="s">
        <v>9</v>
      </c>
      <c r="C2" s="4"/>
      <c r="D2" s="4"/>
      <c r="E2" s="4"/>
      <c r="F2" s="4"/>
      <c r="G2" s="4"/>
      <c r="H2" s="4"/>
      <c r="I2" s="4"/>
      <c r="J2" s="4"/>
      <c r="K2" s="4"/>
      <c r="L2" s="4"/>
      <c r="M2" s="4"/>
      <c r="N2" s="4"/>
      <c r="O2" s="4"/>
      <c r="P2" s="4"/>
      <c r="Q2" s="4"/>
      <c r="R2" s="4"/>
      <c r="S2" s="4"/>
      <c r="T2" s="4"/>
      <c r="U2" s="4"/>
      <c r="V2" s="4"/>
      <c r="W2" s="4"/>
      <c r="X2" s="4"/>
      <c r="Y2" s="4"/>
      <c r="Z2" s="4"/>
    </row>
    <row r="3" spans="1:26" ht="13.2">
      <c r="A3" s="10" t="s">
        <v>3</v>
      </c>
      <c r="B3" s="127">
        <f>SUM(E41, E113, E130)</f>
        <v>111692</v>
      </c>
      <c r="C3" s="4"/>
      <c r="D3" s="4"/>
      <c r="E3" s="4"/>
      <c r="F3" s="4"/>
      <c r="G3" s="4"/>
      <c r="H3" s="4"/>
      <c r="I3" s="4"/>
      <c r="J3" s="4"/>
      <c r="K3" s="4"/>
      <c r="L3" s="4"/>
      <c r="M3" s="4"/>
      <c r="N3" s="4"/>
      <c r="O3" s="4"/>
      <c r="P3" s="4"/>
      <c r="Q3" s="4"/>
      <c r="R3" s="4"/>
      <c r="S3" s="4"/>
      <c r="T3" s="4"/>
      <c r="U3" s="4"/>
      <c r="V3" s="4"/>
      <c r="W3" s="4"/>
      <c r="X3" s="4"/>
      <c r="Y3" s="4"/>
      <c r="Z3" s="4"/>
    </row>
    <row r="4" spans="1:26" ht="13.2">
      <c r="A4" s="10" t="s">
        <v>4</v>
      </c>
      <c r="B4" s="127" t="e">
        <f ca="1">E103</f>
        <v>#NAME?</v>
      </c>
      <c r="C4" s="4"/>
      <c r="D4" s="4"/>
      <c r="E4" s="4"/>
      <c r="F4" s="4"/>
      <c r="G4" s="4"/>
      <c r="H4" s="4"/>
      <c r="I4" s="4"/>
      <c r="J4" s="4"/>
      <c r="K4" s="4"/>
      <c r="L4" s="4"/>
      <c r="M4" s="4"/>
      <c r="N4" s="4"/>
      <c r="O4" s="4"/>
      <c r="P4" s="4"/>
      <c r="Q4" s="4"/>
      <c r="R4" s="4"/>
      <c r="S4" s="4"/>
      <c r="T4" s="4"/>
      <c r="U4" s="4"/>
      <c r="V4" s="4"/>
      <c r="W4" s="4"/>
      <c r="X4" s="4"/>
      <c r="Y4" s="4"/>
      <c r="Z4" s="4"/>
    </row>
    <row r="5" spans="1:26" ht="13.2">
      <c r="A5" s="8" t="s">
        <v>5</v>
      </c>
      <c r="B5" s="127" t="e">
        <f ca="1">SUM(B3:B4)</f>
        <v>#NAME?</v>
      </c>
      <c r="C5" s="4"/>
      <c r="D5" s="4"/>
      <c r="E5" s="4"/>
      <c r="F5" s="4"/>
      <c r="G5" s="4"/>
      <c r="H5" s="4"/>
      <c r="I5" s="4"/>
      <c r="J5" s="4"/>
      <c r="K5" s="4"/>
      <c r="L5" s="4"/>
      <c r="M5" s="4"/>
      <c r="N5" s="4"/>
      <c r="O5" s="4"/>
      <c r="P5" s="4"/>
      <c r="Q5" s="4"/>
      <c r="R5" s="4"/>
      <c r="S5" s="4"/>
      <c r="T5" s="4"/>
      <c r="U5" s="4"/>
      <c r="V5" s="4"/>
      <c r="W5" s="4"/>
      <c r="X5" s="4"/>
      <c r="Y5" s="4"/>
      <c r="Z5" s="4"/>
    </row>
    <row r="6" spans="1:26" ht="13.2">
      <c r="A6" s="2"/>
      <c r="B6" s="4"/>
      <c r="C6" s="4"/>
      <c r="D6" s="4"/>
      <c r="E6" s="4"/>
      <c r="F6" s="4"/>
      <c r="G6" s="4"/>
      <c r="H6" s="4"/>
      <c r="I6" s="4"/>
      <c r="J6" s="4"/>
      <c r="K6" s="4"/>
      <c r="L6" s="4"/>
      <c r="M6" s="4"/>
      <c r="N6" s="4"/>
      <c r="O6" s="4"/>
      <c r="P6" s="4"/>
      <c r="Q6" s="4"/>
      <c r="R6" s="4"/>
      <c r="S6" s="4"/>
      <c r="T6" s="4"/>
      <c r="U6" s="4"/>
      <c r="V6" s="4"/>
      <c r="W6" s="4"/>
      <c r="X6" s="4"/>
      <c r="Y6" s="4"/>
      <c r="Z6" s="4"/>
    </row>
    <row r="7" spans="1:26" ht="13.2">
      <c r="A7" s="2" t="s">
        <v>14</v>
      </c>
      <c r="B7" s="4"/>
      <c r="C7" s="4"/>
      <c r="D7" s="4"/>
      <c r="E7" s="4"/>
      <c r="F7" s="4"/>
      <c r="G7" s="4"/>
      <c r="H7" s="4"/>
      <c r="I7" s="4"/>
      <c r="J7" s="4"/>
      <c r="K7" s="4"/>
      <c r="L7" s="4"/>
      <c r="M7" s="4"/>
      <c r="N7" s="4"/>
      <c r="O7" s="4"/>
      <c r="P7" s="4"/>
      <c r="Q7" s="4"/>
      <c r="R7" s="4"/>
      <c r="S7" s="4"/>
      <c r="T7" s="4"/>
      <c r="U7" s="4"/>
      <c r="V7" s="4"/>
      <c r="W7" s="4"/>
      <c r="X7" s="4"/>
      <c r="Y7" s="4"/>
      <c r="Z7" s="4"/>
    </row>
    <row r="8" spans="1:26" ht="13.2">
      <c r="A8" s="10" t="s">
        <v>703</v>
      </c>
      <c r="B8" s="4"/>
      <c r="C8" s="4"/>
      <c r="D8" s="4"/>
      <c r="E8" s="4"/>
      <c r="F8" s="4"/>
      <c r="G8" s="4"/>
      <c r="H8" s="4"/>
      <c r="I8" s="4"/>
      <c r="J8" s="4"/>
      <c r="K8" s="4"/>
      <c r="L8" s="4"/>
      <c r="M8" s="4"/>
      <c r="N8" s="4"/>
      <c r="O8" s="4"/>
      <c r="P8" s="4"/>
      <c r="Q8" s="4"/>
      <c r="R8" s="4"/>
      <c r="S8" s="4"/>
      <c r="T8" s="4"/>
      <c r="U8" s="4"/>
      <c r="V8" s="4"/>
      <c r="W8" s="4"/>
      <c r="X8" s="4"/>
      <c r="Y8" s="4"/>
      <c r="Z8" s="4"/>
    </row>
    <row r="9" spans="1:26" ht="13.2">
      <c r="A9" s="10" t="s">
        <v>705</v>
      </c>
      <c r="B9" s="4"/>
      <c r="C9" s="4"/>
      <c r="D9" s="4"/>
      <c r="E9" s="4"/>
      <c r="F9" s="4"/>
      <c r="G9" s="4"/>
      <c r="H9" s="4"/>
      <c r="I9" s="4"/>
      <c r="J9" s="4"/>
      <c r="K9" s="4"/>
      <c r="L9" s="4"/>
      <c r="M9" s="4"/>
      <c r="N9" s="4"/>
      <c r="O9" s="4"/>
      <c r="P9" s="4"/>
      <c r="Q9" s="4"/>
      <c r="R9" s="4"/>
      <c r="S9" s="4"/>
      <c r="T9" s="4"/>
      <c r="U9" s="4"/>
      <c r="V9" s="4"/>
      <c r="W9" s="4"/>
      <c r="X9" s="4"/>
      <c r="Y9" s="4"/>
      <c r="Z9" s="4"/>
    </row>
    <row r="10" spans="1:26" ht="13.2">
      <c r="A10" s="10" t="s">
        <v>706</v>
      </c>
      <c r="B10" s="4"/>
      <c r="C10" s="4"/>
      <c r="D10" s="4"/>
      <c r="E10" s="4"/>
      <c r="F10" s="4"/>
      <c r="G10" s="4"/>
      <c r="H10" s="4"/>
      <c r="I10" s="4"/>
      <c r="J10" s="4"/>
      <c r="K10" s="4"/>
      <c r="L10" s="4"/>
      <c r="M10" s="4"/>
      <c r="N10" s="4"/>
      <c r="O10" s="4"/>
      <c r="P10" s="4"/>
      <c r="Q10" s="4"/>
      <c r="R10" s="4"/>
      <c r="S10" s="4"/>
      <c r="T10" s="4"/>
      <c r="U10" s="4"/>
      <c r="V10" s="4"/>
      <c r="W10" s="4"/>
      <c r="X10" s="4"/>
      <c r="Y10" s="4"/>
      <c r="Z10" s="4"/>
    </row>
    <row r="11" spans="1:26" ht="13.2">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3.2">
      <c r="A12" s="10" t="s">
        <v>708</v>
      </c>
      <c r="B12" s="4"/>
      <c r="C12" s="4"/>
      <c r="D12" s="4"/>
      <c r="E12" s="4"/>
      <c r="F12" s="4"/>
      <c r="G12" s="4"/>
      <c r="H12" s="4"/>
      <c r="I12" s="4"/>
      <c r="J12" s="4"/>
      <c r="K12" s="4"/>
      <c r="L12" s="4"/>
      <c r="M12" s="4"/>
      <c r="N12" s="4"/>
      <c r="O12" s="4"/>
      <c r="P12" s="4"/>
      <c r="Q12" s="4"/>
      <c r="R12" s="4"/>
      <c r="S12" s="4"/>
      <c r="T12" s="4"/>
      <c r="U12" s="4"/>
      <c r="V12" s="4"/>
      <c r="W12" s="4"/>
      <c r="X12" s="4"/>
      <c r="Y12" s="4"/>
      <c r="Z12" s="4"/>
    </row>
    <row r="13" spans="1:26" ht="13.2">
      <c r="A13" s="10" t="s">
        <v>710</v>
      </c>
      <c r="B13" s="4"/>
      <c r="C13" s="4"/>
      <c r="D13" s="4"/>
      <c r="E13" s="4"/>
      <c r="F13" s="4"/>
      <c r="G13" s="4"/>
      <c r="H13" s="4"/>
      <c r="I13" s="4"/>
      <c r="J13" s="4"/>
      <c r="K13" s="4"/>
      <c r="L13" s="4"/>
      <c r="M13" s="4"/>
      <c r="N13" s="4"/>
      <c r="O13" s="4"/>
      <c r="P13" s="4"/>
      <c r="Q13" s="4"/>
      <c r="R13" s="4"/>
      <c r="S13" s="4"/>
      <c r="T13" s="4"/>
      <c r="U13" s="4"/>
      <c r="V13" s="4"/>
      <c r="W13" s="4"/>
      <c r="X13" s="4"/>
      <c r="Y13" s="4"/>
      <c r="Z13" s="4"/>
    </row>
    <row r="14" spans="1:26" ht="13.2">
      <c r="A14" s="10" t="s">
        <v>712</v>
      </c>
      <c r="B14" s="4"/>
      <c r="C14" s="4"/>
      <c r="D14" s="4"/>
      <c r="E14" s="4"/>
      <c r="F14" s="4"/>
      <c r="G14" s="4"/>
      <c r="H14" s="4"/>
      <c r="I14" s="4"/>
      <c r="J14" s="4"/>
      <c r="K14" s="4"/>
      <c r="L14" s="4"/>
      <c r="M14" s="4"/>
      <c r="N14" s="4"/>
      <c r="O14" s="4"/>
      <c r="P14" s="4"/>
      <c r="Q14" s="4"/>
      <c r="R14" s="4"/>
      <c r="S14" s="4"/>
      <c r="T14" s="4"/>
      <c r="U14" s="4"/>
      <c r="V14" s="4"/>
      <c r="W14" s="4"/>
      <c r="X14" s="4"/>
      <c r="Y14" s="4"/>
      <c r="Z14" s="4"/>
    </row>
    <row r="15" spans="1:26" ht="13.2">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3.2">
      <c r="A16" s="10" t="s">
        <v>715</v>
      </c>
      <c r="B16" s="4"/>
      <c r="C16" s="4"/>
      <c r="D16" s="4"/>
      <c r="E16" s="4"/>
      <c r="F16" s="4"/>
      <c r="G16" s="4"/>
      <c r="H16" s="4"/>
      <c r="I16" s="4"/>
      <c r="J16" s="4"/>
      <c r="K16" s="4"/>
      <c r="L16" s="4"/>
      <c r="M16" s="4"/>
      <c r="N16" s="4"/>
      <c r="O16" s="4"/>
      <c r="P16" s="4"/>
      <c r="Q16" s="4"/>
      <c r="R16" s="4"/>
      <c r="S16" s="4"/>
      <c r="T16" s="4"/>
      <c r="U16" s="4"/>
      <c r="V16" s="4"/>
      <c r="W16" s="4"/>
      <c r="X16" s="4"/>
      <c r="Y16" s="4"/>
      <c r="Z16" s="4"/>
    </row>
    <row r="17" spans="1:26" ht="13.2">
      <c r="A17" s="10" t="s">
        <v>717</v>
      </c>
      <c r="B17" s="4"/>
      <c r="C17" s="4"/>
      <c r="D17" s="4"/>
      <c r="E17" s="4"/>
      <c r="F17" s="4"/>
      <c r="G17" s="4"/>
      <c r="H17" s="4"/>
      <c r="I17" s="4"/>
      <c r="J17" s="4"/>
      <c r="K17" s="4"/>
      <c r="L17" s="4"/>
      <c r="M17" s="4"/>
      <c r="N17" s="4"/>
      <c r="O17" s="4"/>
      <c r="P17" s="4"/>
      <c r="Q17" s="4"/>
      <c r="R17" s="4"/>
      <c r="S17" s="4"/>
      <c r="T17" s="4"/>
      <c r="U17" s="4"/>
      <c r="V17" s="4"/>
      <c r="W17" s="4"/>
      <c r="X17" s="4"/>
      <c r="Y17" s="4"/>
      <c r="Z17" s="4"/>
    </row>
    <row r="18" spans="1:26" ht="13.2">
      <c r="A18" s="10" t="s">
        <v>706</v>
      </c>
      <c r="B18" s="4"/>
      <c r="C18" s="4"/>
      <c r="D18" s="4"/>
      <c r="E18" s="4"/>
      <c r="F18" s="4"/>
      <c r="G18" s="4"/>
      <c r="H18" s="4"/>
      <c r="I18" s="4"/>
      <c r="J18" s="4"/>
      <c r="K18" s="4"/>
      <c r="L18" s="4"/>
      <c r="M18" s="4"/>
      <c r="N18" s="4"/>
      <c r="O18" s="4"/>
      <c r="P18" s="4"/>
      <c r="Q18" s="4"/>
      <c r="R18" s="4"/>
      <c r="S18" s="4"/>
      <c r="T18" s="4"/>
      <c r="U18" s="4"/>
      <c r="V18" s="4"/>
      <c r="W18" s="4"/>
      <c r="X18" s="4"/>
      <c r="Y18" s="4"/>
      <c r="Z18" s="4"/>
    </row>
    <row r="19" spans="1:26" ht="13.2">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3.2">
      <c r="A20" s="10" t="s">
        <v>719</v>
      </c>
      <c r="B20" s="4"/>
      <c r="C20" s="4"/>
      <c r="D20" s="4"/>
      <c r="E20" s="4"/>
      <c r="F20" s="4"/>
      <c r="G20" s="4"/>
      <c r="H20" s="4"/>
      <c r="I20" s="4"/>
      <c r="J20" s="4"/>
      <c r="K20" s="4"/>
      <c r="L20" s="4"/>
      <c r="M20" s="4"/>
      <c r="N20" s="4"/>
      <c r="O20" s="4"/>
      <c r="P20" s="4"/>
      <c r="Q20" s="4"/>
      <c r="R20" s="4"/>
      <c r="S20" s="4"/>
      <c r="T20" s="4"/>
      <c r="U20" s="4"/>
      <c r="V20" s="4"/>
      <c r="W20" s="4"/>
      <c r="X20" s="4"/>
      <c r="Y20" s="4"/>
      <c r="Z20" s="4"/>
    </row>
    <row r="21" spans="1:26" ht="13.2">
      <c r="A21" s="10" t="s">
        <v>720</v>
      </c>
      <c r="B21" s="4"/>
      <c r="C21" s="4"/>
      <c r="D21" s="4"/>
      <c r="E21" s="4"/>
      <c r="F21" s="4"/>
      <c r="G21" s="4"/>
      <c r="H21" s="4"/>
      <c r="I21" s="4"/>
      <c r="J21" s="4"/>
      <c r="K21" s="4"/>
      <c r="L21" s="4"/>
      <c r="M21" s="4"/>
      <c r="N21" s="4"/>
      <c r="O21" s="4"/>
      <c r="P21" s="4"/>
      <c r="Q21" s="4"/>
      <c r="R21" s="4"/>
      <c r="S21" s="4"/>
      <c r="T21" s="4"/>
      <c r="U21" s="4"/>
      <c r="V21" s="4"/>
      <c r="W21" s="4"/>
      <c r="X21" s="4"/>
      <c r="Y21" s="4"/>
      <c r="Z21" s="4"/>
    </row>
    <row r="22" spans="1:26" ht="13.2">
      <c r="A22" s="10" t="s">
        <v>712</v>
      </c>
      <c r="B22" s="4"/>
      <c r="C22" s="4"/>
      <c r="D22" s="4"/>
      <c r="E22" s="4"/>
      <c r="F22" s="4"/>
      <c r="G22" s="4"/>
      <c r="H22" s="4"/>
      <c r="I22" s="4"/>
      <c r="J22" s="4"/>
      <c r="K22" s="4"/>
      <c r="L22" s="4"/>
      <c r="M22" s="4"/>
      <c r="N22" s="4"/>
      <c r="O22" s="4"/>
      <c r="P22" s="4"/>
      <c r="Q22" s="4"/>
      <c r="R22" s="4"/>
      <c r="S22" s="4"/>
      <c r="T22" s="4"/>
      <c r="U22" s="4"/>
      <c r="V22" s="4"/>
      <c r="W22" s="4"/>
      <c r="X22" s="4"/>
      <c r="Y22" s="4"/>
      <c r="Z22" s="4"/>
    </row>
    <row r="23" spans="1:26" ht="13.2">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3.2">
      <c r="A24" s="10" t="s">
        <v>721</v>
      </c>
      <c r="B24" s="4"/>
      <c r="C24" s="4"/>
      <c r="D24" s="4"/>
      <c r="E24" s="4"/>
      <c r="F24" s="4"/>
      <c r="G24" s="4"/>
      <c r="H24" s="4"/>
      <c r="I24" s="4"/>
      <c r="J24" s="4"/>
      <c r="K24" s="4"/>
      <c r="L24" s="4"/>
      <c r="M24" s="4"/>
      <c r="N24" s="4"/>
      <c r="O24" s="4"/>
      <c r="P24" s="4"/>
      <c r="Q24" s="4"/>
      <c r="R24" s="4"/>
      <c r="S24" s="4"/>
      <c r="T24" s="4"/>
      <c r="U24" s="4"/>
      <c r="V24" s="4"/>
      <c r="W24" s="4"/>
      <c r="X24" s="4"/>
      <c r="Y24" s="4"/>
      <c r="Z24" s="4"/>
    </row>
    <row r="25" spans="1:26" ht="13.2">
      <c r="A25" s="10" t="s">
        <v>722</v>
      </c>
      <c r="B25" s="4"/>
      <c r="C25" s="4"/>
      <c r="D25" s="4"/>
      <c r="E25" s="4"/>
      <c r="F25" s="4"/>
      <c r="G25" s="4"/>
      <c r="H25" s="4"/>
      <c r="I25" s="4"/>
      <c r="J25" s="4"/>
      <c r="K25" s="4"/>
      <c r="L25" s="4"/>
      <c r="M25" s="4"/>
      <c r="N25" s="4"/>
      <c r="O25" s="4"/>
      <c r="P25" s="4"/>
      <c r="Q25" s="4"/>
      <c r="R25" s="4"/>
      <c r="S25" s="4"/>
      <c r="T25" s="4"/>
      <c r="U25" s="4"/>
      <c r="V25" s="4"/>
      <c r="W25" s="4"/>
      <c r="X25" s="4"/>
      <c r="Y25" s="4"/>
      <c r="Z25" s="4"/>
    </row>
    <row r="26" spans="1:26" ht="13.2">
      <c r="A26" s="10" t="s">
        <v>712</v>
      </c>
      <c r="B26" s="4"/>
      <c r="C26" s="4"/>
      <c r="D26" s="4"/>
      <c r="E26" s="4"/>
      <c r="F26" s="4"/>
      <c r="G26" s="4"/>
      <c r="H26" s="4"/>
      <c r="I26" s="4"/>
      <c r="J26" s="4"/>
      <c r="K26" s="4"/>
      <c r="L26" s="4"/>
      <c r="M26" s="4"/>
      <c r="N26" s="4"/>
      <c r="O26" s="4"/>
      <c r="P26" s="4"/>
      <c r="Q26" s="4"/>
      <c r="R26" s="4"/>
      <c r="S26" s="4"/>
      <c r="T26" s="4"/>
      <c r="U26" s="4"/>
      <c r="V26" s="4"/>
      <c r="W26" s="4"/>
      <c r="X26" s="4"/>
      <c r="Y26" s="4"/>
      <c r="Z26" s="4"/>
    </row>
    <row r="27" spans="1:26" ht="13.2">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2">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2">
      <c r="A29" s="225" t="s">
        <v>34</v>
      </c>
      <c r="B29" s="226"/>
      <c r="C29" s="226"/>
      <c r="D29" s="226"/>
      <c r="E29" s="226"/>
      <c r="F29" s="227"/>
      <c r="G29" s="4"/>
      <c r="H29" s="4"/>
      <c r="I29" s="4"/>
      <c r="J29" s="4"/>
      <c r="K29" s="4"/>
      <c r="L29" s="4"/>
      <c r="M29" s="4"/>
      <c r="N29" s="4"/>
      <c r="O29" s="4"/>
      <c r="P29" s="4"/>
      <c r="Q29" s="4"/>
      <c r="R29" s="4"/>
      <c r="S29" s="4"/>
      <c r="T29" s="4"/>
      <c r="U29" s="4"/>
      <c r="V29" s="4"/>
      <c r="W29" s="4"/>
      <c r="X29" s="4"/>
      <c r="Y29" s="4"/>
      <c r="Z29" s="4"/>
    </row>
    <row r="30" spans="1:26" ht="13.2">
      <c r="A30" s="8" t="s">
        <v>44</v>
      </c>
      <c r="B30" s="8" t="s">
        <v>46</v>
      </c>
      <c r="C30" s="8" t="s">
        <v>47</v>
      </c>
      <c r="D30" s="8" t="s">
        <v>48</v>
      </c>
      <c r="E30" s="8" t="s">
        <v>9</v>
      </c>
      <c r="F30" s="8" t="s">
        <v>52</v>
      </c>
      <c r="G30" s="4"/>
      <c r="H30" s="4"/>
      <c r="I30" s="4"/>
      <c r="J30" s="4"/>
      <c r="K30" s="4"/>
      <c r="L30" s="4"/>
      <c r="M30" s="4"/>
      <c r="N30" s="4"/>
      <c r="O30" s="4"/>
      <c r="P30" s="4"/>
      <c r="Q30" s="4"/>
      <c r="R30" s="4"/>
      <c r="S30" s="4"/>
      <c r="T30" s="4"/>
      <c r="U30" s="4"/>
      <c r="V30" s="4"/>
      <c r="W30" s="4"/>
      <c r="X30" s="4"/>
      <c r="Y30" s="4"/>
      <c r="Z30" s="4"/>
    </row>
    <row r="31" spans="1:26" ht="13.2">
      <c r="A31" s="131">
        <v>1</v>
      </c>
      <c r="B31" s="132" t="s">
        <v>723</v>
      </c>
      <c r="C31" s="133">
        <v>4304</v>
      </c>
      <c r="D31" s="131">
        <v>1</v>
      </c>
      <c r="E31" s="133">
        <f t="shared" ref="E31:E40" si="0">C31*D31</f>
        <v>4304</v>
      </c>
      <c r="F31" s="134" t="s">
        <v>724</v>
      </c>
      <c r="G31" s="135" t="s">
        <v>725</v>
      </c>
      <c r="H31" s="4"/>
      <c r="I31" s="4"/>
      <c r="J31" s="4"/>
      <c r="K31" s="4"/>
      <c r="L31" s="4"/>
      <c r="M31" s="4"/>
      <c r="N31" s="4"/>
      <c r="O31" s="4"/>
      <c r="P31" s="4"/>
      <c r="Q31" s="4"/>
      <c r="R31" s="4"/>
      <c r="S31" s="4"/>
      <c r="T31" s="4"/>
      <c r="U31" s="4"/>
      <c r="V31" s="4"/>
      <c r="W31" s="4"/>
      <c r="X31" s="4"/>
      <c r="Y31" s="4"/>
      <c r="Z31" s="4"/>
    </row>
    <row r="32" spans="1:26" ht="13.2">
      <c r="A32" s="131">
        <v>2</v>
      </c>
      <c r="B32" s="132" t="s">
        <v>726</v>
      </c>
      <c r="C32" s="133">
        <v>253</v>
      </c>
      <c r="D32" s="131">
        <v>5</v>
      </c>
      <c r="E32" s="133">
        <f t="shared" si="0"/>
        <v>1265</v>
      </c>
      <c r="F32" s="134" t="s">
        <v>726</v>
      </c>
      <c r="G32" s="136" t="s">
        <v>725</v>
      </c>
      <c r="H32" s="4"/>
      <c r="I32" s="4"/>
      <c r="J32" s="4"/>
      <c r="K32" s="4"/>
      <c r="L32" s="4"/>
      <c r="M32" s="4"/>
      <c r="N32" s="4"/>
      <c r="O32" s="4"/>
      <c r="P32" s="4"/>
      <c r="Q32" s="4"/>
      <c r="R32" s="4"/>
      <c r="S32" s="4"/>
      <c r="T32" s="4"/>
      <c r="U32" s="4"/>
      <c r="V32" s="4"/>
      <c r="W32" s="4"/>
      <c r="X32" s="4"/>
      <c r="Y32" s="4"/>
      <c r="Z32" s="4"/>
    </row>
    <row r="33" spans="1:26" ht="13.2">
      <c r="A33" s="131">
        <v>3</v>
      </c>
      <c r="B33" s="132" t="s">
        <v>727</v>
      </c>
      <c r="C33" s="133">
        <v>42</v>
      </c>
      <c r="D33" s="131">
        <v>5</v>
      </c>
      <c r="E33" s="133">
        <f t="shared" si="0"/>
        <v>210</v>
      </c>
      <c r="F33" s="134" t="s">
        <v>728</v>
      </c>
      <c r="G33" s="136" t="s">
        <v>725</v>
      </c>
      <c r="H33" s="4"/>
      <c r="I33" s="4"/>
      <c r="J33" s="4"/>
      <c r="K33" s="4"/>
      <c r="L33" s="4"/>
      <c r="M33" s="4"/>
      <c r="N33" s="4"/>
      <c r="O33" s="4"/>
      <c r="P33" s="4"/>
      <c r="Q33" s="4"/>
      <c r="R33" s="4"/>
      <c r="S33" s="4"/>
      <c r="T33" s="4"/>
      <c r="U33" s="4"/>
      <c r="V33" s="4"/>
      <c r="W33" s="4"/>
      <c r="X33" s="4"/>
      <c r="Y33" s="4"/>
      <c r="Z33" s="4"/>
    </row>
    <row r="34" spans="1:26" ht="13.2">
      <c r="A34" s="131">
        <v>4</v>
      </c>
      <c r="B34" s="132" t="s">
        <v>729</v>
      </c>
      <c r="C34" s="133">
        <v>1132</v>
      </c>
      <c r="D34" s="131">
        <v>4</v>
      </c>
      <c r="E34" s="133">
        <f t="shared" si="0"/>
        <v>4528</v>
      </c>
      <c r="F34" s="134" t="s">
        <v>730</v>
      </c>
      <c r="G34" s="136" t="s">
        <v>725</v>
      </c>
      <c r="H34" s="4"/>
      <c r="I34" s="4"/>
      <c r="J34" s="4"/>
      <c r="K34" s="4"/>
      <c r="L34" s="4"/>
      <c r="M34" s="4"/>
      <c r="N34" s="4"/>
      <c r="O34" s="4"/>
      <c r="P34" s="4"/>
      <c r="Q34" s="4"/>
      <c r="R34" s="4"/>
      <c r="S34" s="4"/>
      <c r="T34" s="4"/>
      <c r="U34" s="4"/>
      <c r="V34" s="4"/>
      <c r="W34" s="4"/>
      <c r="X34" s="4"/>
      <c r="Y34" s="4"/>
      <c r="Z34" s="4"/>
    </row>
    <row r="35" spans="1:26" ht="13.2">
      <c r="A35" s="131">
        <v>5</v>
      </c>
      <c r="B35" s="137" t="s">
        <v>731</v>
      </c>
      <c r="C35" s="138">
        <v>800</v>
      </c>
      <c r="D35" s="139">
        <v>2</v>
      </c>
      <c r="E35" s="133">
        <f t="shared" si="0"/>
        <v>1600</v>
      </c>
      <c r="F35" s="134" t="s">
        <v>732</v>
      </c>
      <c r="G35" s="136" t="s">
        <v>725</v>
      </c>
      <c r="H35" s="4"/>
      <c r="I35" s="4"/>
      <c r="J35" s="4"/>
      <c r="K35" s="4"/>
      <c r="L35" s="4"/>
      <c r="M35" s="4"/>
      <c r="N35" s="4"/>
      <c r="O35" s="4"/>
      <c r="P35" s="4"/>
      <c r="Q35" s="4"/>
      <c r="R35" s="4"/>
      <c r="S35" s="4"/>
      <c r="T35" s="4"/>
      <c r="U35" s="4"/>
      <c r="V35" s="4"/>
      <c r="W35" s="4"/>
      <c r="X35" s="4"/>
      <c r="Y35" s="4"/>
      <c r="Z35" s="4"/>
    </row>
    <row r="36" spans="1:26" ht="13.2">
      <c r="A36" s="131">
        <v>6</v>
      </c>
      <c r="B36" s="137" t="s">
        <v>733</v>
      </c>
      <c r="C36" s="138">
        <v>800</v>
      </c>
      <c r="D36" s="139">
        <v>2</v>
      </c>
      <c r="E36" s="133">
        <f t="shared" si="0"/>
        <v>1600</v>
      </c>
      <c r="F36" s="134" t="s">
        <v>732</v>
      </c>
      <c r="G36" s="136" t="s">
        <v>725</v>
      </c>
      <c r="H36" s="4"/>
      <c r="I36" s="4"/>
      <c r="J36" s="4"/>
      <c r="K36" s="4"/>
      <c r="L36" s="4"/>
      <c r="M36" s="4"/>
      <c r="N36" s="4"/>
      <c r="O36" s="4"/>
      <c r="P36" s="4"/>
      <c r="Q36" s="4"/>
      <c r="R36" s="4"/>
      <c r="S36" s="4"/>
      <c r="T36" s="4"/>
      <c r="U36" s="4"/>
      <c r="V36" s="4"/>
      <c r="W36" s="4"/>
      <c r="X36" s="4"/>
      <c r="Y36" s="4"/>
      <c r="Z36" s="4"/>
    </row>
    <row r="37" spans="1:26" ht="13.2">
      <c r="A37" s="131">
        <v>7</v>
      </c>
      <c r="B37" s="132" t="s">
        <v>734</v>
      </c>
      <c r="C37" s="133">
        <v>392</v>
      </c>
      <c r="D37" s="131">
        <v>1</v>
      </c>
      <c r="E37" s="133">
        <f t="shared" si="0"/>
        <v>392</v>
      </c>
      <c r="F37" s="134" t="s">
        <v>735</v>
      </c>
      <c r="G37" s="136" t="s">
        <v>725</v>
      </c>
      <c r="H37" s="4"/>
      <c r="I37" s="4"/>
      <c r="J37" s="4"/>
      <c r="K37" s="4"/>
      <c r="L37" s="4"/>
      <c r="M37" s="4"/>
      <c r="N37" s="4"/>
      <c r="O37" s="4"/>
      <c r="P37" s="4"/>
      <c r="Q37" s="4"/>
      <c r="R37" s="4"/>
      <c r="S37" s="4"/>
      <c r="T37" s="4"/>
      <c r="U37" s="4"/>
      <c r="V37" s="4"/>
      <c r="W37" s="4"/>
      <c r="X37" s="4"/>
      <c r="Y37" s="4"/>
      <c r="Z37" s="4"/>
    </row>
    <row r="38" spans="1:26" ht="13.2">
      <c r="A38" s="139">
        <v>8</v>
      </c>
      <c r="B38" s="132" t="s">
        <v>736</v>
      </c>
      <c r="C38" s="133">
        <v>439</v>
      </c>
      <c r="D38" s="131">
        <v>1</v>
      </c>
      <c r="E38" s="133">
        <f t="shared" si="0"/>
        <v>439</v>
      </c>
      <c r="F38" s="134" t="s">
        <v>735</v>
      </c>
      <c r="G38" s="136" t="s">
        <v>725</v>
      </c>
      <c r="H38" s="4"/>
      <c r="I38" s="4"/>
      <c r="J38" s="4"/>
      <c r="K38" s="4"/>
      <c r="L38" s="4"/>
      <c r="M38" s="4"/>
      <c r="N38" s="4"/>
      <c r="O38" s="4"/>
      <c r="P38" s="4"/>
      <c r="Q38" s="4"/>
      <c r="R38" s="4"/>
      <c r="S38" s="4"/>
      <c r="T38" s="4"/>
      <c r="U38" s="4"/>
      <c r="V38" s="4"/>
      <c r="W38" s="4"/>
      <c r="X38" s="4"/>
      <c r="Y38" s="4"/>
      <c r="Z38" s="4"/>
    </row>
    <row r="39" spans="1:26" ht="13.2">
      <c r="A39" s="139">
        <v>9</v>
      </c>
      <c r="B39" s="132" t="s">
        <v>737</v>
      </c>
      <c r="C39" s="133">
        <v>18728</v>
      </c>
      <c r="D39" s="131">
        <v>2</v>
      </c>
      <c r="E39" s="140">
        <f t="shared" si="0"/>
        <v>37456</v>
      </c>
      <c r="F39" s="134" t="s">
        <v>738</v>
      </c>
      <c r="G39" s="136" t="s">
        <v>739</v>
      </c>
      <c r="H39" s="4"/>
      <c r="I39" s="4"/>
      <c r="J39" s="4"/>
      <c r="K39" s="4"/>
      <c r="L39" s="4"/>
      <c r="M39" s="4"/>
      <c r="N39" s="4"/>
      <c r="O39" s="4"/>
      <c r="P39" s="4"/>
      <c r="Q39" s="4"/>
      <c r="R39" s="4"/>
      <c r="S39" s="4"/>
      <c r="T39" s="4"/>
      <c r="U39" s="4"/>
      <c r="V39" s="4"/>
      <c r="W39" s="4"/>
      <c r="X39" s="4"/>
      <c r="Y39" s="4"/>
      <c r="Z39" s="4"/>
    </row>
    <row r="40" spans="1:26" ht="13.2">
      <c r="A40" s="131">
        <v>10</v>
      </c>
      <c r="B40" s="132" t="s">
        <v>740</v>
      </c>
      <c r="C40" s="133">
        <v>49</v>
      </c>
      <c r="D40" s="131">
        <v>2</v>
      </c>
      <c r="E40" s="140">
        <f t="shared" si="0"/>
        <v>98</v>
      </c>
      <c r="F40" s="141" t="s">
        <v>741</v>
      </c>
      <c r="G40" s="142" t="s">
        <v>739</v>
      </c>
      <c r="H40" s="4"/>
      <c r="I40" s="4"/>
      <c r="J40" s="4"/>
      <c r="K40" s="4"/>
      <c r="L40" s="4"/>
      <c r="M40" s="4"/>
      <c r="N40" s="4"/>
      <c r="O40" s="4"/>
      <c r="P40" s="4"/>
      <c r="Q40" s="4"/>
      <c r="R40" s="4"/>
      <c r="S40" s="4"/>
      <c r="T40" s="4"/>
      <c r="U40" s="4"/>
      <c r="V40" s="4"/>
      <c r="W40" s="4"/>
      <c r="X40" s="4"/>
      <c r="Y40" s="4"/>
      <c r="Z40" s="4"/>
    </row>
    <row r="41" spans="1:26" ht="13.2">
      <c r="A41" s="240" t="s">
        <v>5</v>
      </c>
      <c r="B41" s="226"/>
      <c r="C41" s="226"/>
      <c r="D41" s="227"/>
      <c r="E41" s="143">
        <f>SUM(E31:E40)</f>
        <v>51892</v>
      </c>
      <c r="F41" s="4"/>
      <c r="G41" s="4"/>
      <c r="H41" s="4"/>
      <c r="I41" s="4"/>
      <c r="J41" s="4"/>
      <c r="K41" s="4"/>
      <c r="L41" s="4"/>
      <c r="M41" s="4"/>
      <c r="N41" s="4"/>
      <c r="O41" s="4"/>
      <c r="P41" s="4"/>
      <c r="Q41" s="4"/>
      <c r="R41" s="4"/>
      <c r="S41" s="4"/>
      <c r="T41" s="4"/>
      <c r="U41" s="4"/>
      <c r="V41" s="4"/>
      <c r="W41" s="4"/>
      <c r="X41" s="4"/>
      <c r="Y41" s="4"/>
      <c r="Z41" s="4"/>
    </row>
    <row r="42" spans="1:26" ht="13.2">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2">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2">
      <c r="A44" s="225" t="s">
        <v>103</v>
      </c>
      <c r="B44" s="226"/>
      <c r="C44" s="226"/>
      <c r="D44" s="226"/>
      <c r="E44" s="226"/>
      <c r="F44" s="227"/>
      <c r="G44" s="4"/>
      <c r="H44" s="4"/>
      <c r="I44" s="4"/>
      <c r="J44" s="4"/>
      <c r="K44" s="4"/>
      <c r="L44" s="4"/>
      <c r="M44" s="4"/>
      <c r="N44" s="4"/>
      <c r="O44" s="4"/>
      <c r="P44" s="4"/>
      <c r="Q44" s="4"/>
      <c r="R44" s="4"/>
      <c r="S44" s="4"/>
      <c r="T44" s="4"/>
      <c r="U44" s="4"/>
      <c r="V44" s="4"/>
      <c r="W44" s="4"/>
      <c r="X44" s="4"/>
      <c r="Y44" s="4"/>
      <c r="Z44" s="4"/>
    </row>
    <row r="45" spans="1:26" ht="13.2">
      <c r="A45" s="144" t="s">
        <v>44</v>
      </c>
      <c r="B45" s="144" t="s">
        <v>46</v>
      </c>
      <c r="C45" s="144" t="s">
        <v>47</v>
      </c>
      <c r="D45" s="144" t="s">
        <v>48</v>
      </c>
      <c r="E45" s="144" t="s">
        <v>9</v>
      </c>
      <c r="F45" s="144" t="s">
        <v>52</v>
      </c>
      <c r="G45" s="4"/>
      <c r="H45" s="4"/>
      <c r="I45" s="4"/>
      <c r="J45" s="4"/>
      <c r="K45" s="4"/>
      <c r="L45" s="4"/>
      <c r="M45" s="4"/>
      <c r="N45" s="4"/>
      <c r="O45" s="4"/>
      <c r="P45" s="4"/>
      <c r="Q45" s="4"/>
      <c r="R45" s="4"/>
      <c r="S45" s="4"/>
      <c r="T45" s="4"/>
      <c r="U45" s="4"/>
      <c r="V45" s="4"/>
      <c r="W45" s="4"/>
      <c r="X45" s="4"/>
      <c r="Y45" s="4"/>
      <c r="Z45" s="4"/>
    </row>
    <row r="46" spans="1:26" ht="13.2">
      <c r="A46" s="145">
        <v>1</v>
      </c>
      <c r="B46" s="146" t="s">
        <v>742</v>
      </c>
      <c r="C46" s="147">
        <v>95000</v>
      </c>
      <c r="D46" s="147">
        <v>2</v>
      </c>
      <c r="E46" s="148">
        <f t="shared" ref="E46:E73" si="1">C46*D46</f>
        <v>190000</v>
      </c>
      <c r="F46" s="149" t="s">
        <v>283</v>
      </c>
      <c r="G46" s="150" t="s">
        <v>725</v>
      </c>
      <c r="H46" s="33" t="s">
        <v>743</v>
      </c>
      <c r="I46" s="33"/>
      <c r="J46" s="33"/>
      <c r="K46" s="33"/>
      <c r="L46" s="33"/>
      <c r="M46" s="33"/>
      <c r="N46" s="33"/>
      <c r="O46" s="33"/>
      <c r="P46" s="33"/>
      <c r="Q46" s="33"/>
      <c r="R46" s="33"/>
      <c r="S46" s="33"/>
      <c r="T46" s="33"/>
      <c r="U46" s="33"/>
      <c r="V46" s="33"/>
      <c r="W46" s="33"/>
      <c r="X46" s="33"/>
      <c r="Y46" s="33"/>
      <c r="Z46" s="33"/>
    </row>
    <row r="47" spans="1:26" ht="13.2">
      <c r="A47" s="151">
        <v>2</v>
      </c>
      <c r="B47" s="152" t="s">
        <v>744</v>
      </c>
      <c r="C47" s="133">
        <v>141</v>
      </c>
      <c r="D47" s="131">
        <v>5</v>
      </c>
      <c r="E47" s="133">
        <f t="shared" si="1"/>
        <v>705</v>
      </c>
      <c r="F47" s="134" t="s">
        <v>745</v>
      </c>
      <c r="G47" s="136" t="s">
        <v>725</v>
      </c>
      <c r="H47" s="4"/>
      <c r="I47" s="4"/>
      <c r="J47" s="4"/>
      <c r="K47" s="4"/>
      <c r="L47" s="4"/>
      <c r="M47" s="4"/>
      <c r="N47" s="4"/>
      <c r="O47" s="4"/>
      <c r="P47" s="4"/>
      <c r="Q47" s="4"/>
      <c r="R47" s="4"/>
      <c r="S47" s="4"/>
      <c r="T47" s="4"/>
      <c r="U47" s="4"/>
      <c r="V47" s="4"/>
      <c r="W47" s="4"/>
      <c r="X47" s="4"/>
      <c r="Y47" s="4"/>
      <c r="Z47" s="4"/>
    </row>
    <row r="48" spans="1:26" ht="13.2">
      <c r="A48" s="151">
        <v>3</v>
      </c>
      <c r="B48" s="152" t="s">
        <v>746</v>
      </c>
      <c r="C48" s="133">
        <v>61</v>
      </c>
      <c r="D48" s="131">
        <v>3</v>
      </c>
      <c r="E48" s="133">
        <f t="shared" si="1"/>
        <v>183</v>
      </c>
      <c r="F48" s="134" t="s">
        <v>747</v>
      </c>
      <c r="G48" s="136" t="s">
        <v>725</v>
      </c>
      <c r="H48" s="4"/>
      <c r="I48" s="4"/>
      <c r="J48" s="4"/>
      <c r="K48" s="4"/>
      <c r="L48" s="4"/>
      <c r="M48" s="4"/>
      <c r="N48" s="4"/>
      <c r="O48" s="4"/>
      <c r="P48" s="4"/>
      <c r="Q48" s="4"/>
      <c r="R48" s="4"/>
      <c r="S48" s="4"/>
      <c r="T48" s="4"/>
      <c r="U48" s="4"/>
      <c r="V48" s="4"/>
      <c r="W48" s="4"/>
      <c r="X48" s="4"/>
      <c r="Y48" s="4"/>
      <c r="Z48" s="4"/>
    </row>
    <row r="49" spans="1:26" ht="13.2">
      <c r="A49" s="139">
        <v>4</v>
      </c>
      <c r="B49" s="152" t="s">
        <v>748</v>
      </c>
      <c r="C49" s="133">
        <v>1859</v>
      </c>
      <c r="D49" s="131">
        <v>10</v>
      </c>
      <c r="E49" s="133">
        <f t="shared" si="1"/>
        <v>18590</v>
      </c>
      <c r="F49" s="134" t="s">
        <v>183</v>
      </c>
      <c r="G49" s="136" t="s">
        <v>725</v>
      </c>
      <c r="H49" s="236" t="s">
        <v>749</v>
      </c>
      <c r="I49" s="233"/>
      <c r="J49" s="233"/>
      <c r="K49" s="4"/>
      <c r="L49" s="4"/>
      <c r="M49" s="4"/>
      <c r="N49" s="4"/>
      <c r="O49" s="4"/>
      <c r="P49" s="4"/>
      <c r="Q49" s="4"/>
      <c r="R49" s="4"/>
      <c r="S49" s="4"/>
      <c r="T49" s="4"/>
      <c r="U49" s="4"/>
      <c r="V49" s="4"/>
      <c r="W49" s="4"/>
      <c r="X49" s="4"/>
      <c r="Y49" s="4"/>
      <c r="Z49" s="4"/>
    </row>
    <row r="50" spans="1:26" ht="13.2">
      <c r="A50" s="151">
        <v>5</v>
      </c>
      <c r="B50" s="152" t="s">
        <v>750</v>
      </c>
      <c r="C50" s="133">
        <v>211.86</v>
      </c>
      <c r="D50" s="131">
        <v>5</v>
      </c>
      <c r="E50" s="133">
        <f t="shared" si="1"/>
        <v>1059.3000000000002</v>
      </c>
      <c r="F50" s="134" t="s">
        <v>183</v>
      </c>
      <c r="G50" s="136" t="s">
        <v>725</v>
      </c>
      <c r="H50" s="233"/>
      <c r="I50" s="233"/>
      <c r="J50" s="233"/>
      <c r="K50" s="4"/>
      <c r="L50" s="4"/>
      <c r="M50" s="4"/>
      <c r="N50" s="4"/>
      <c r="O50" s="4"/>
      <c r="P50" s="4"/>
      <c r="Q50" s="4"/>
      <c r="R50" s="4"/>
      <c r="S50" s="4"/>
      <c r="T50" s="4"/>
      <c r="U50" s="4"/>
      <c r="V50" s="4"/>
      <c r="W50" s="4"/>
      <c r="X50" s="4"/>
      <c r="Y50" s="4"/>
      <c r="Z50" s="4"/>
    </row>
    <row r="51" spans="1:26" ht="13.2">
      <c r="A51" s="151">
        <v>6</v>
      </c>
      <c r="B51" s="152" t="s">
        <v>751</v>
      </c>
      <c r="C51" s="133">
        <v>1799</v>
      </c>
      <c r="D51" s="131">
        <v>10</v>
      </c>
      <c r="E51" s="133">
        <f t="shared" si="1"/>
        <v>17990</v>
      </c>
      <c r="F51" s="134" t="s">
        <v>752</v>
      </c>
      <c r="G51" s="136" t="s">
        <v>725</v>
      </c>
      <c r="H51" s="233"/>
      <c r="I51" s="233"/>
      <c r="J51" s="233"/>
      <c r="K51" s="4"/>
      <c r="L51" s="4"/>
      <c r="M51" s="4"/>
      <c r="N51" s="4"/>
      <c r="O51" s="4"/>
      <c r="P51" s="4"/>
      <c r="Q51" s="4"/>
      <c r="R51" s="4"/>
      <c r="S51" s="4"/>
      <c r="T51" s="4"/>
      <c r="U51" s="4"/>
      <c r="V51" s="4"/>
      <c r="W51" s="4"/>
      <c r="X51" s="4"/>
      <c r="Y51" s="4"/>
      <c r="Z51" s="4"/>
    </row>
    <row r="52" spans="1:26" ht="13.2">
      <c r="A52" s="151">
        <v>7</v>
      </c>
      <c r="B52" s="152" t="s">
        <v>753</v>
      </c>
      <c r="C52" s="133">
        <v>3849</v>
      </c>
      <c r="D52" s="131">
        <v>5</v>
      </c>
      <c r="E52" s="133">
        <f t="shared" si="1"/>
        <v>19245</v>
      </c>
      <c r="F52" s="134" t="s">
        <v>754</v>
      </c>
      <c r="G52" s="136" t="s">
        <v>725</v>
      </c>
      <c r="H52" s="233"/>
      <c r="I52" s="233"/>
      <c r="J52" s="233"/>
      <c r="K52" s="4"/>
      <c r="L52" s="4"/>
      <c r="M52" s="4"/>
      <c r="N52" s="4"/>
      <c r="O52" s="4"/>
      <c r="P52" s="4"/>
      <c r="Q52" s="4"/>
      <c r="R52" s="4"/>
      <c r="S52" s="4"/>
      <c r="T52" s="4"/>
      <c r="U52" s="4"/>
      <c r="V52" s="4"/>
      <c r="W52" s="4"/>
      <c r="X52" s="4"/>
      <c r="Y52" s="4"/>
      <c r="Z52" s="4"/>
    </row>
    <row r="53" spans="1:26" ht="13.2">
      <c r="A53" s="151">
        <v>8</v>
      </c>
      <c r="B53" s="152" t="s">
        <v>755</v>
      </c>
      <c r="C53" s="133">
        <v>2099</v>
      </c>
      <c r="D53" s="131">
        <v>5</v>
      </c>
      <c r="E53" s="133">
        <f t="shared" si="1"/>
        <v>10495</v>
      </c>
      <c r="F53" s="134" t="s">
        <v>756</v>
      </c>
      <c r="G53" s="136" t="s">
        <v>725</v>
      </c>
      <c r="H53" s="4" t="s">
        <v>757</v>
      </c>
      <c r="I53" s="4"/>
      <c r="J53" s="4"/>
      <c r="K53" s="4"/>
      <c r="L53" s="4"/>
      <c r="M53" s="4"/>
      <c r="N53" s="4"/>
      <c r="O53" s="4"/>
      <c r="P53" s="4"/>
      <c r="Q53" s="4"/>
      <c r="R53" s="4"/>
      <c r="S53" s="4"/>
      <c r="T53" s="4"/>
      <c r="U53" s="4"/>
      <c r="V53" s="4"/>
      <c r="W53" s="4"/>
      <c r="X53" s="4"/>
      <c r="Y53" s="4"/>
      <c r="Z53" s="4"/>
    </row>
    <row r="54" spans="1:26" ht="13.2">
      <c r="A54" s="151">
        <v>9</v>
      </c>
      <c r="B54" s="152" t="s">
        <v>758</v>
      </c>
      <c r="C54" s="133">
        <v>415</v>
      </c>
      <c r="D54" s="131">
        <v>5</v>
      </c>
      <c r="E54" s="133">
        <f t="shared" si="1"/>
        <v>2075</v>
      </c>
      <c r="F54" s="153" t="s">
        <v>572</v>
      </c>
      <c r="G54" s="136" t="s">
        <v>725</v>
      </c>
      <c r="H54" s="4"/>
      <c r="I54" s="4"/>
      <c r="J54" s="4"/>
      <c r="K54" s="4"/>
      <c r="L54" s="4"/>
      <c r="M54" s="4"/>
      <c r="N54" s="4"/>
      <c r="O54" s="4"/>
      <c r="P54" s="4"/>
      <c r="Q54" s="4"/>
      <c r="R54" s="4"/>
      <c r="S54" s="4"/>
      <c r="T54" s="4"/>
      <c r="U54" s="4"/>
      <c r="V54" s="4"/>
      <c r="W54" s="4"/>
      <c r="X54" s="4"/>
      <c r="Y54" s="4"/>
      <c r="Z54" s="4"/>
    </row>
    <row r="55" spans="1:26" ht="13.2">
      <c r="A55" s="139">
        <v>10</v>
      </c>
      <c r="B55" s="152" t="s">
        <v>759</v>
      </c>
      <c r="C55" s="133">
        <v>19618</v>
      </c>
      <c r="D55" s="131">
        <v>2</v>
      </c>
      <c r="E55" s="133">
        <f t="shared" si="1"/>
        <v>39236</v>
      </c>
      <c r="F55" s="134" t="s">
        <v>760</v>
      </c>
      <c r="G55" s="136" t="s">
        <v>725</v>
      </c>
      <c r="H55" s="4" t="s">
        <v>761</v>
      </c>
      <c r="I55" s="4"/>
      <c r="J55" s="4"/>
      <c r="K55" s="4"/>
      <c r="L55" s="4"/>
      <c r="M55" s="4"/>
      <c r="N55" s="4"/>
      <c r="O55" s="4"/>
      <c r="P55" s="4"/>
      <c r="Q55" s="4"/>
      <c r="R55" s="4"/>
      <c r="S55" s="4"/>
      <c r="T55" s="4"/>
      <c r="U55" s="4"/>
      <c r="V55" s="4"/>
      <c r="W55" s="4"/>
      <c r="X55" s="4"/>
      <c r="Y55" s="4"/>
      <c r="Z55" s="4"/>
    </row>
    <row r="56" spans="1:26" ht="13.2">
      <c r="A56" s="151">
        <v>11</v>
      </c>
      <c r="B56" s="152" t="s">
        <v>762</v>
      </c>
      <c r="C56" s="133">
        <v>44</v>
      </c>
      <c r="D56" s="131">
        <v>20</v>
      </c>
      <c r="E56" s="133">
        <f t="shared" si="1"/>
        <v>880</v>
      </c>
      <c r="F56" s="134" t="s">
        <v>763</v>
      </c>
      <c r="G56" s="136" t="s">
        <v>725</v>
      </c>
      <c r="H56" s="4"/>
      <c r="I56" s="4"/>
      <c r="J56" s="4"/>
      <c r="K56" s="4"/>
      <c r="L56" s="4"/>
      <c r="M56" s="4"/>
      <c r="N56" s="4"/>
      <c r="O56" s="4"/>
      <c r="P56" s="4"/>
      <c r="Q56" s="4"/>
      <c r="R56" s="4"/>
      <c r="S56" s="4"/>
      <c r="T56" s="4"/>
      <c r="U56" s="4"/>
      <c r="V56" s="4"/>
      <c r="W56" s="4"/>
      <c r="X56" s="4"/>
      <c r="Y56" s="4"/>
      <c r="Z56" s="4"/>
    </row>
    <row r="57" spans="1:26" ht="13.2">
      <c r="A57" s="151">
        <v>12</v>
      </c>
      <c r="B57" s="152" t="s">
        <v>764</v>
      </c>
      <c r="C57" s="133">
        <v>98</v>
      </c>
      <c r="D57" s="131">
        <v>15</v>
      </c>
      <c r="E57" s="133">
        <f t="shared" si="1"/>
        <v>1470</v>
      </c>
      <c r="F57" s="134" t="s">
        <v>765</v>
      </c>
      <c r="G57" s="136" t="s">
        <v>725</v>
      </c>
      <c r="H57" s="4"/>
      <c r="I57" s="4"/>
      <c r="J57" s="4"/>
      <c r="K57" s="4"/>
      <c r="L57" s="4"/>
      <c r="M57" s="4"/>
      <c r="N57" s="4"/>
      <c r="O57" s="4"/>
      <c r="P57" s="4"/>
      <c r="Q57" s="4"/>
      <c r="R57" s="4"/>
      <c r="S57" s="4"/>
      <c r="T57" s="4"/>
      <c r="U57" s="4"/>
      <c r="V57" s="4"/>
      <c r="W57" s="4"/>
      <c r="X57" s="4"/>
      <c r="Y57" s="4"/>
      <c r="Z57" s="4"/>
    </row>
    <row r="58" spans="1:26" ht="13.2">
      <c r="A58" s="151">
        <v>13</v>
      </c>
      <c r="B58" s="152" t="s">
        <v>766</v>
      </c>
      <c r="C58" s="133">
        <v>1235</v>
      </c>
      <c r="D58" s="131">
        <v>2</v>
      </c>
      <c r="E58" s="133">
        <f t="shared" si="1"/>
        <v>2470</v>
      </c>
      <c r="F58" s="134" t="s">
        <v>767</v>
      </c>
      <c r="G58" s="136" t="s">
        <v>725</v>
      </c>
      <c r="H58" s="4"/>
      <c r="I58" s="4"/>
      <c r="J58" s="4"/>
      <c r="K58" s="4"/>
      <c r="L58" s="4"/>
      <c r="M58" s="4"/>
      <c r="N58" s="4"/>
      <c r="O58" s="4"/>
      <c r="P58" s="4"/>
      <c r="Q58" s="4"/>
      <c r="R58" s="4"/>
      <c r="S58" s="4"/>
      <c r="T58" s="4"/>
      <c r="U58" s="4"/>
      <c r="V58" s="4"/>
      <c r="W58" s="4"/>
      <c r="X58" s="4"/>
      <c r="Y58" s="4"/>
      <c r="Z58" s="4"/>
    </row>
    <row r="59" spans="1:26" ht="13.2">
      <c r="A59" s="151">
        <v>14</v>
      </c>
      <c r="B59" s="152" t="s">
        <v>768</v>
      </c>
      <c r="C59" s="133">
        <v>60</v>
      </c>
      <c r="D59" s="131">
        <v>10</v>
      </c>
      <c r="E59" s="133">
        <f t="shared" si="1"/>
        <v>600</v>
      </c>
      <c r="F59" s="134" t="s">
        <v>567</v>
      </c>
      <c r="G59" s="136" t="s">
        <v>725</v>
      </c>
      <c r="H59" s="4"/>
      <c r="I59" s="4"/>
      <c r="J59" s="4"/>
      <c r="K59" s="4"/>
      <c r="L59" s="4"/>
      <c r="M59" s="4"/>
      <c r="N59" s="4"/>
      <c r="O59" s="4"/>
      <c r="P59" s="4"/>
      <c r="Q59" s="4"/>
      <c r="R59" s="4"/>
      <c r="S59" s="4"/>
      <c r="T59" s="4"/>
      <c r="U59" s="4"/>
      <c r="V59" s="4"/>
      <c r="W59" s="4"/>
      <c r="X59" s="4"/>
      <c r="Y59" s="4"/>
      <c r="Z59" s="4"/>
    </row>
    <row r="60" spans="1:26" ht="13.2">
      <c r="A60" s="151">
        <v>15</v>
      </c>
      <c r="B60" s="152" t="s">
        <v>769</v>
      </c>
      <c r="C60" s="133">
        <v>33</v>
      </c>
      <c r="D60" s="131">
        <v>10</v>
      </c>
      <c r="E60" s="133">
        <f t="shared" si="1"/>
        <v>330</v>
      </c>
      <c r="F60" s="134" t="s">
        <v>567</v>
      </c>
      <c r="G60" s="136" t="s">
        <v>725</v>
      </c>
      <c r="H60" s="4"/>
      <c r="I60" s="4"/>
      <c r="J60" s="4"/>
      <c r="K60" s="4"/>
      <c r="L60" s="4"/>
      <c r="M60" s="4"/>
      <c r="N60" s="4"/>
      <c r="O60" s="4"/>
      <c r="P60" s="4"/>
      <c r="Q60" s="4"/>
      <c r="R60" s="4"/>
      <c r="S60" s="4"/>
      <c r="T60" s="4"/>
      <c r="U60" s="4"/>
      <c r="V60" s="4"/>
      <c r="W60" s="4"/>
      <c r="X60" s="4"/>
      <c r="Y60" s="4"/>
      <c r="Z60" s="4"/>
    </row>
    <row r="61" spans="1:26" ht="13.2">
      <c r="A61" s="139">
        <v>16</v>
      </c>
      <c r="B61" s="152" t="s">
        <v>770</v>
      </c>
      <c r="C61" s="133">
        <v>89</v>
      </c>
      <c r="D61" s="131">
        <v>10</v>
      </c>
      <c r="E61" s="133">
        <f t="shared" si="1"/>
        <v>890</v>
      </c>
      <c r="F61" s="134" t="s">
        <v>771</v>
      </c>
      <c r="G61" s="136" t="s">
        <v>725</v>
      </c>
      <c r="H61" s="4"/>
      <c r="I61" s="4"/>
      <c r="J61" s="4"/>
      <c r="K61" s="4"/>
      <c r="L61" s="4"/>
      <c r="M61" s="4"/>
      <c r="N61" s="4"/>
      <c r="O61" s="4"/>
      <c r="P61" s="4"/>
      <c r="Q61" s="4"/>
      <c r="R61" s="4"/>
      <c r="S61" s="4"/>
      <c r="T61" s="4"/>
      <c r="U61" s="4"/>
      <c r="V61" s="4"/>
      <c r="W61" s="4"/>
      <c r="X61" s="4"/>
      <c r="Y61" s="4"/>
      <c r="Z61" s="4"/>
    </row>
    <row r="62" spans="1:26" ht="13.2">
      <c r="A62" s="151">
        <v>17</v>
      </c>
      <c r="B62" s="152" t="s">
        <v>772</v>
      </c>
      <c r="C62" s="133">
        <v>50</v>
      </c>
      <c r="D62" s="131">
        <v>10</v>
      </c>
      <c r="E62" s="133">
        <f t="shared" si="1"/>
        <v>500</v>
      </c>
      <c r="F62" s="134" t="s">
        <v>771</v>
      </c>
      <c r="G62" s="136" t="s">
        <v>725</v>
      </c>
      <c r="H62" s="4"/>
      <c r="I62" s="4"/>
      <c r="J62" s="4"/>
      <c r="K62" s="4"/>
      <c r="L62" s="4"/>
      <c r="M62" s="4"/>
      <c r="N62" s="4"/>
      <c r="O62" s="4"/>
      <c r="P62" s="4"/>
      <c r="Q62" s="4"/>
      <c r="R62" s="4"/>
      <c r="S62" s="4"/>
      <c r="T62" s="4"/>
      <c r="U62" s="4"/>
      <c r="V62" s="4"/>
      <c r="W62" s="4"/>
      <c r="X62" s="4"/>
      <c r="Y62" s="4"/>
      <c r="Z62" s="4"/>
    </row>
    <row r="63" spans="1:26" ht="13.2">
      <c r="A63" s="151">
        <v>18</v>
      </c>
      <c r="B63" s="152" t="s">
        <v>773</v>
      </c>
      <c r="C63" s="133">
        <v>684</v>
      </c>
      <c r="D63" s="131">
        <v>1</v>
      </c>
      <c r="E63" s="133">
        <f t="shared" si="1"/>
        <v>684</v>
      </c>
      <c r="F63" s="134" t="s">
        <v>511</v>
      </c>
      <c r="G63" s="136" t="s">
        <v>725</v>
      </c>
      <c r="H63" s="4"/>
      <c r="I63" s="4"/>
      <c r="J63" s="4"/>
      <c r="K63" s="4"/>
      <c r="L63" s="4"/>
      <c r="M63" s="4"/>
      <c r="N63" s="4"/>
      <c r="O63" s="4"/>
      <c r="P63" s="4"/>
      <c r="Q63" s="4"/>
      <c r="R63" s="4"/>
      <c r="S63" s="4"/>
      <c r="T63" s="4"/>
      <c r="U63" s="4"/>
      <c r="V63" s="4"/>
      <c r="W63" s="4"/>
      <c r="X63" s="4"/>
      <c r="Y63" s="4"/>
      <c r="Z63" s="4"/>
    </row>
    <row r="64" spans="1:26" ht="13.2">
      <c r="A64" s="151">
        <v>19</v>
      </c>
      <c r="B64" s="152" t="s">
        <v>774</v>
      </c>
      <c r="C64" s="133">
        <v>89</v>
      </c>
      <c r="D64" s="131">
        <v>1</v>
      </c>
      <c r="E64" s="133">
        <f t="shared" si="1"/>
        <v>89</v>
      </c>
      <c r="F64" s="134" t="s">
        <v>775</v>
      </c>
      <c r="G64" s="136" t="s">
        <v>725</v>
      </c>
      <c r="H64" s="4"/>
      <c r="I64" s="4"/>
      <c r="J64" s="4"/>
      <c r="K64" s="4"/>
      <c r="L64" s="4"/>
      <c r="M64" s="4"/>
      <c r="N64" s="4"/>
      <c r="O64" s="4"/>
      <c r="P64" s="4"/>
      <c r="Q64" s="4"/>
      <c r="R64" s="4"/>
      <c r="S64" s="4"/>
      <c r="T64" s="4"/>
      <c r="U64" s="4"/>
      <c r="V64" s="4"/>
      <c r="W64" s="4"/>
      <c r="X64" s="4"/>
      <c r="Y64" s="4"/>
      <c r="Z64" s="4"/>
    </row>
    <row r="65" spans="1:26" ht="13.2">
      <c r="A65" s="151">
        <v>20</v>
      </c>
      <c r="B65" s="152" t="s">
        <v>776</v>
      </c>
      <c r="C65" s="133">
        <v>120.78</v>
      </c>
      <c r="D65" s="131">
        <v>4</v>
      </c>
      <c r="E65" s="133">
        <f t="shared" si="1"/>
        <v>483.12</v>
      </c>
      <c r="F65" s="134" t="s">
        <v>777</v>
      </c>
      <c r="G65" s="136" t="s">
        <v>725</v>
      </c>
      <c r="H65" s="4"/>
      <c r="I65" s="4"/>
      <c r="J65" s="4"/>
      <c r="K65" s="4"/>
      <c r="L65" s="4"/>
      <c r="M65" s="4"/>
      <c r="N65" s="4"/>
      <c r="O65" s="4"/>
      <c r="P65" s="4"/>
      <c r="Q65" s="4"/>
      <c r="R65" s="4"/>
      <c r="S65" s="4"/>
      <c r="T65" s="4"/>
      <c r="U65" s="4"/>
      <c r="V65" s="4"/>
      <c r="W65" s="4"/>
      <c r="X65" s="4"/>
      <c r="Y65" s="4"/>
      <c r="Z65" s="4"/>
    </row>
    <row r="66" spans="1:26" ht="13.2">
      <c r="A66" s="151">
        <v>21</v>
      </c>
      <c r="B66" s="152" t="s">
        <v>778</v>
      </c>
      <c r="C66" s="133">
        <v>142</v>
      </c>
      <c r="D66" s="131">
        <v>2</v>
      </c>
      <c r="E66" s="133">
        <f t="shared" si="1"/>
        <v>284</v>
      </c>
      <c r="F66" s="134" t="s">
        <v>778</v>
      </c>
      <c r="G66" s="136" t="s">
        <v>725</v>
      </c>
      <c r="H66" s="4"/>
      <c r="I66" s="4"/>
      <c r="J66" s="4"/>
      <c r="K66" s="4"/>
      <c r="L66" s="4"/>
      <c r="M66" s="4"/>
      <c r="N66" s="4"/>
      <c r="O66" s="4"/>
      <c r="P66" s="4"/>
      <c r="Q66" s="4"/>
      <c r="R66" s="4"/>
      <c r="S66" s="4"/>
      <c r="T66" s="4"/>
      <c r="U66" s="4"/>
      <c r="V66" s="4"/>
      <c r="W66" s="4"/>
      <c r="X66" s="4"/>
      <c r="Y66" s="4"/>
      <c r="Z66" s="4"/>
    </row>
    <row r="67" spans="1:26" ht="13.2">
      <c r="A67" s="139">
        <v>22</v>
      </c>
      <c r="B67" s="154" t="s">
        <v>779</v>
      </c>
      <c r="C67" s="133">
        <v>124</v>
      </c>
      <c r="D67" s="131">
        <v>5</v>
      </c>
      <c r="E67" s="133">
        <f t="shared" si="1"/>
        <v>620</v>
      </c>
      <c r="F67" s="134" t="s">
        <v>780</v>
      </c>
      <c r="G67" s="136" t="s">
        <v>725</v>
      </c>
      <c r="H67" s="4"/>
      <c r="I67" s="4"/>
      <c r="J67" s="4"/>
      <c r="K67" s="4"/>
      <c r="L67" s="4"/>
      <c r="M67" s="4"/>
      <c r="N67" s="4"/>
      <c r="O67" s="4"/>
      <c r="P67" s="4"/>
      <c r="Q67" s="4"/>
      <c r="R67" s="4"/>
      <c r="S67" s="4"/>
      <c r="T67" s="4"/>
      <c r="U67" s="4"/>
      <c r="V67" s="4"/>
      <c r="W67" s="4"/>
      <c r="X67" s="4"/>
      <c r="Y67" s="4"/>
      <c r="Z67" s="4"/>
    </row>
    <row r="68" spans="1:26" ht="13.2">
      <c r="A68" s="151">
        <v>23</v>
      </c>
      <c r="B68" s="152" t="s">
        <v>781</v>
      </c>
      <c r="C68" s="133">
        <v>8079</v>
      </c>
      <c r="D68" s="131">
        <v>1</v>
      </c>
      <c r="E68" s="133">
        <f t="shared" si="1"/>
        <v>8079</v>
      </c>
      <c r="F68" s="134" t="s">
        <v>782</v>
      </c>
      <c r="G68" s="136" t="s">
        <v>725</v>
      </c>
      <c r="H68" s="4"/>
      <c r="I68" s="4"/>
      <c r="J68" s="4"/>
      <c r="K68" s="4"/>
      <c r="L68" s="4"/>
      <c r="M68" s="4"/>
      <c r="N68" s="4"/>
      <c r="O68" s="4"/>
      <c r="P68" s="4"/>
      <c r="Q68" s="4"/>
      <c r="R68" s="4"/>
      <c r="S68" s="4"/>
      <c r="T68" s="4"/>
      <c r="U68" s="4"/>
      <c r="V68" s="4"/>
      <c r="W68" s="4"/>
      <c r="X68" s="4"/>
      <c r="Y68" s="4"/>
      <c r="Z68" s="4"/>
    </row>
    <row r="69" spans="1:26" ht="13.2">
      <c r="A69" s="151">
        <v>24</v>
      </c>
      <c r="B69" s="152" t="s">
        <v>783</v>
      </c>
      <c r="C69" s="133">
        <v>2090</v>
      </c>
      <c r="D69" s="131">
        <v>1</v>
      </c>
      <c r="E69" s="133">
        <f t="shared" si="1"/>
        <v>2090</v>
      </c>
      <c r="F69" s="155" t="s">
        <v>784</v>
      </c>
      <c r="G69" s="136" t="s">
        <v>725</v>
      </c>
      <c r="H69" s="4"/>
      <c r="I69" s="4"/>
      <c r="J69" s="4"/>
      <c r="K69" s="4"/>
      <c r="L69" s="4"/>
      <c r="M69" s="4"/>
      <c r="N69" s="4"/>
      <c r="O69" s="4"/>
      <c r="P69" s="4"/>
      <c r="Q69" s="4"/>
      <c r="R69" s="4"/>
      <c r="S69" s="4"/>
      <c r="T69" s="4"/>
      <c r="U69" s="4"/>
      <c r="V69" s="4"/>
      <c r="W69" s="4"/>
      <c r="X69" s="4"/>
      <c r="Y69" s="4"/>
      <c r="Z69" s="4"/>
    </row>
    <row r="70" spans="1:26" ht="13.2">
      <c r="A70" s="151">
        <v>25</v>
      </c>
      <c r="B70" s="152" t="s">
        <v>785</v>
      </c>
      <c r="C70" s="133">
        <v>314</v>
      </c>
      <c r="D70" s="131">
        <v>1</v>
      </c>
      <c r="E70" s="133">
        <f t="shared" si="1"/>
        <v>314</v>
      </c>
      <c r="F70" s="134" t="s">
        <v>786</v>
      </c>
      <c r="G70" s="136" t="s">
        <v>725</v>
      </c>
      <c r="H70" s="4"/>
      <c r="I70" s="4"/>
      <c r="J70" s="4"/>
      <c r="K70" s="4"/>
      <c r="L70" s="4"/>
      <c r="M70" s="4"/>
      <c r="N70" s="4"/>
      <c r="O70" s="4"/>
      <c r="P70" s="4"/>
      <c r="Q70" s="4"/>
      <c r="R70" s="4"/>
      <c r="S70" s="4"/>
      <c r="T70" s="4"/>
      <c r="U70" s="4"/>
      <c r="V70" s="4"/>
      <c r="W70" s="4"/>
      <c r="X70" s="4"/>
      <c r="Y70" s="4"/>
      <c r="Z70" s="4"/>
    </row>
    <row r="71" spans="1:26" ht="13.2">
      <c r="A71" s="151">
        <v>26</v>
      </c>
      <c r="B71" s="152" t="s">
        <v>787</v>
      </c>
      <c r="C71" s="133">
        <v>5.2</v>
      </c>
      <c r="D71" s="131">
        <v>10</v>
      </c>
      <c r="E71" s="133">
        <f t="shared" si="1"/>
        <v>52</v>
      </c>
      <c r="F71" s="134" t="s">
        <v>788</v>
      </c>
      <c r="G71" s="136" t="s">
        <v>725</v>
      </c>
      <c r="H71" s="4"/>
      <c r="I71" s="4"/>
      <c r="J71" s="4"/>
      <c r="K71" s="4"/>
      <c r="L71" s="4"/>
      <c r="M71" s="4"/>
      <c r="N71" s="4"/>
      <c r="O71" s="4"/>
      <c r="P71" s="4"/>
      <c r="Q71" s="4"/>
      <c r="R71" s="4"/>
      <c r="S71" s="4"/>
      <c r="T71" s="4"/>
      <c r="U71" s="4"/>
      <c r="V71" s="4"/>
      <c r="W71" s="4"/>
      <c r="X71" s="4"/>
      <c r="Y71" s="4"/>
      <c r="Z71" s="4"/>
    </row>
    <row r="72" spans="1:26" ht="13.2">
      <c r="A72" s="151">
        <v>27</v>
      </c>
      <c r="B72" s="152" t="s">
        <v>789</v>
      </c>
      <c r="C72" s="133">
        <v>5</v>
      </c>
      <c r="D72" s="131">
        <v>10</v>
      </c>
      <c r="E72" s="133">
        <f t="shared" si="1"/>
        <v>50</v>
      </c>
      <c r="F72" s="134" t="s">
        <v>790</v>
      </c>
      <c r="G72" s="136" t="s">
        <v>725</v>
      </c>
      <c r="H72" s="4"/>
      <c r="I72" s="4"/>
      <c r="J72" s="4"/>
      <c r="K72" s="4"/>
      <c r="L72" s="4"/>
      <c r="M72" s="4"/>
      <c r="N72" s="4"/>
      <c r="O72" s="4"/>
      <c r="P72" s="4"/>
      <c r="Q72" s="4"/>
      <c r="R72" s="4"/>
      <c r="S72" s="4"/>
      <c r="T72" s="4"/>
      <c r="U72" s="4"/>
      <c r="V72" s="4"/>
      <c r="W72" s="4"/>
      <c r="X72" s="4"/>
      <c r="Y72" s="4"/>
      <c r="Z72" s="4"/>
    </row>
    <row r="73" spans="1:26" ht="13.2">
      <c r="A73" s="139">
        <v>28</v>
      </c>
      <c r="B73" s="152" t="s">
        <v>791</v>
      </c>
      <c r="C73" s="133">
        <v>9</v>
      </c>
      <c r="D73" s="131">
        <v>10</v>
      </c>
      <c r="E73" s="133">
        <f t="shared" si="1"/>
        <v>90</v>
      </c>
      <c r="F73" s="134" t="s">
        <v>792</v>
      </c>
      <c r="G73" s="136" t="s">
        <v>725</v>
      </c>
      <c r="H73" s="4"/>
      <c r="I73" s="4"/>
      <c r="J73" s="4"/>
      <c r="K73" s="4"/>
      <c r="L73" s="4"/>
      <c r="M73" s="4"/>
      <c r="N73" s="4"/>
      <c r="O73" s="4"/>
      <c r="P73" s="4"/>
      <c r="Q73" s="4"/>
      <c r="R73" s="4"/>
      <c r="S73" s="4"/>
      <c r="T73" s="4"/>
      <c r="U73" s="4"/>
      <c r="V73" s="4"/>
      <c r="W73" s="4"/>
      <c r="X73" s="4"/>
      <c r="Y73" s="4"/>
      <c r="Z73" s="4"/>
    </row>
    <row r="74" spans="1:26" ht="13.2">
      <c r="A74" s="151">
        <v>29</v>
      </c>
      <c r="B74" s="152" t="s">
        <v>793</v>
      </c>
      <c r="C74" s="133">
        <v>1060</v>
      </c>
      <c r="D74" s="156">
        <v>2</v>
      </c>
      <c r="E74" s="133" t="e">
        <f ca="1">MULTIPLY(C74,D74)</f>
        <v>#NAME?</v>
      </c>
      <c r="F74" s="134" t="s">
        <v>794</v>
      </c>
      <c r="G74" s="136" t="s">
        <v>795</v>
      </c>
      <c r="H74" s="4"/>
      <c r="I74" s="4"/>
      <c r="J74" s="4"/>
      <c r="K74" s="4"/>
      <c r="L74" s="4"/>
      <c r="M74" s="4"/>
      <c r="N74" s="4"/>
      <c r="O74" s="4"/>
      <c r="P74" s="4"/>
      <c r="Q74" s="4"/>
      <c r="R74" s="4"/>
      <c r="S74" s="4"/>
      <c r="T74" s="4"/>
      <c r="U74" s="4"/>
      <c r="V74" s="4"/>
      <c r="W74" s="4"/>
      <c r="X74" s="4"/>
      <c r="Y74" s="4"/>
      <c r="Z74" s="4"/>
    </row>
    <row r="75" spans="1:26" ht="13.2">
      <c r="A75" s="151">
        <v>30</v>
      </c>
      <c r="B75" s="152" t="s">
        <v>796</v>
      </c>
      <c r="C75" s="133">
        <v>12</v>
      </c>
      <c r="D75" s="131">
        <v>30</v>
      </c>
      <c r="E75" s="133">
        <f>C75*D75</f>
        <v>360</v>
      </c>
      <c r="F75" s="134" t="s">
        <v>797</v>
      </c>
      <c r="G75" s="136" t="s">
        <v>795</v>
      </c>
      <c r="H75" s="4"/>
      <c r="I75" s="4"/>
      <c r="J75" s="4"/>
      <c r="K75" s="4"/>
      <c r="L75" s="4"/>
      <c r="M75" s="4"/>
      <c r="N75" s="4"/>
      <c r="O75" s="4"/>
      <c r="P75" s="4"/>
      <c r="Q75" s="4"/>
      <c r="R75" s="4"/>
      <c r="S75" s="4"/>
      <c r="T75" s="4"/>
      <c r="U75" s="4"/>
      <c r="V75" s="4"/>
      <c r="W75" s="4"/>
      <c r="X75" s="4"/>
      <c r="Y75" s="4"/>
      <c r="Z75" s="4"/>
    </row>
    <row r="76" spans="1:26" ht="13.2">
      <c r="A76" s="151">
        <v>31</v>
      </c>
      <c r="B76" s="152" t="s">
        <v>798</v>
      </c>
      <c r="C76" s="133">
        <v>14</v>
      </c>
      <c r="D76" s="131">
        <v>30</v>
      </c>
      <c r="E76" s="133">
        <f t="shared" ref="E76:E88" si="2">D76*C76</f>
        <v>420</v>
      </c>
      <c r="F76" s="134" t="s">
        <v>799</v>
      </c>
      <c r="G76" s="136" t="s">
        <v>795</v>
      </c>
      <c r="H76" s="4"/>
      <c r="I76" s="4"/>
      <c r="J76" s="4"/>
      <c r="K76" s="4"/>
      <c r="L76" s="4"/>
      <c r="M76" s="4"/>
      <c r="N76" s="4"/>
      <c r="O76" s="4"/>
      <c r="P76" s="4"/>
      <c r="Q76" s="4"/>
      <c r="R76" s="4"/>
      <c r="S76" s="4"/>
      <c r="T76" s="4"/>
      <c r="U76" s="4"/>
      <c r="V76" s="4"/>
      <c r="W76" s="4"/>
      <c r="X76" s="4"/>
      <c r="Y76" s="4"/>
      <c r="Z76" s="4"/>
    </row>
    <row r="77" spans="1:26" ht="13.2">
      <c r="A77" s="151">
        <v>32</v>
      </c>
      <c r="B77" s="152" t="s">
        <v>800</v>
      </c>
      <c r="C77" s="133">
        <v>2</v>
      </c>
      <c r="D77" s="131">
        <v>50</v>
      </c>
      <c r="E77" s="133">
        <f t="shared" si="2"/>
        <v>100</v>
      </c>
      <c r="F77" s="134" t="s">
        <v>801</v>
      </c>
      <c r="G77" s="136" t="s">
        <v>795</v>
      </c>
      <c r="H77" s="4"/>
      <c r="I77" s="4"/>
      <c r="J77" s="4"/>
      <c r="K77" s="4"/>
      <c r="L77" s="4"/>
      <c r="M77" s="4"/>
      <c r="N77" s="4"/>
      <c r="O77" s="4"/>
      <c r="P77" s="4"/>
      <c r="Q77" s="4"/>
      <c r="R77" s="4"/>
      <c r="S77" s="4"/>
      <c r="T77" s="4"/>
      <c r="U77" s="4"/>
      <c r="V77" s="4"/>
      <c r="W77" s="4"/>
      <c r="X77" s="4"/>
      <c r="Y77" s="4"/>
      <c r="Z77" s="4"/>
    </row>
    <row r="78" spans="1:26" ht="13.2">
      <c r="A78" s="151">
        <v>33</v>
      </c>
      <c r="B78" s="152" t="s">
        <v>802</v>
      </c>
      <c r="C78" s="133">
        <v>2</v>
      </c>
      <c r="D78" s="131">
        <v>50</v>
      </c>
      <c r="E78" s="133">
        <f t="shared" si="2"/>
        <v>100</v>
      </c>
      <c r="F78" s="134" t="s">
        <v>803</v>
      </c>
      <c r="G78" s="136" t="s">
        <v>795</v>
      </c>
      <c r="H78" s="4"/>
      <c r="I78" s="4"/>
      <c r="J78" s="4"/>
      <c r="K78" s="4"/>
      <c r="L78" s="4"/>
      <c r="M78" s="4"/>
      <c r="N78" s="4"/>
      <c r="O78" s="4"/>
      <c r="P78" s="4"/>
      <c r="Q78" s="4"/>
      <c r="R78" s="4"/>
      <c r="S78" s="4"/>
      <c r="T78" s="4"/>
      <c r="U78" s="4"/>
      <c r="V78" s="4"/>
      <c r="W78" s="4"/>
      <c r="X78" s="4"/>
      <c r="Y78" s="4"/>
      <c r="Z78" s="4"/>
    </row>
    <row r="79" spans="1:26" ht="14.4">
      <c r="A79" s="139">
        <v>34</v>
      </c>
      <c r="B79" s="157" t="s">
        <v>804</v>
      </c>
      <c r="C79" s="133">
        <v>1.5</v>
      </c>
      <c r="D79" s="131">
        <v>50</v>
      </c>
      <c r="E79" s="133">
        <f t="shared" si="2"/>
        <v>75</v>
      </c>
      <c r="F79" s="134" t="s">
        <v>805</v>
      </c>
      <c r="G79" s="136" t="s">
        <v>795</v>
      </c>
      <c r="H79" s="4"/>
      <c r="I79" s="4"/>
      <c r="J79" s="4"/>
      <c r="K79" s="4"/>
      <c r="L79" s="4"/>
      <c r="M79" s="4"/>
      <c r="N79" s="4"/>
      <c r="O79" s="4"/>
      <c r="P79" s="4"/>
      <c r="Q79" s="4"/>
      <c r="R79" s="4"/>
      <c r="S79" s="4"/>
      <c r="T79" s="4"/>
      <c r="U79" s="4"/>
      <c r="V79" s="4"/>
      <c r="W79" s="4"/>
      <c r="X79" s="4"/>
      <c r="Y79" s="4"/>
      <c r="Z79" s="4"/>
    </row>
    <row r="80" spans="1:26" ht="13.2">
      <c r="A80" s="151">
        <v>35</v>
      </c>
      <c r="B80" s="152" t="s">
        <v>806</v>
      </c>
      <c r="C80" s="133">
        <v>1</v>
      </c>
      <c r="D80" s="131">
        <v>50</v>
      </c>
      <c r="E80" s="133">
        <f t="shared" si="2"/>
        <v>50</v>
      </c>
      <c r="F80" s="134" t="s">
        <v>807</v>
      </c>
      <c r="G80" s="136" t="s">
        <v>795</v>
      </c>
      <c r="H80" s="4"/>
      <c r="I80" s="4"/>
      <c r="J80" s="4"/>
      <c r="K80" s="4"/>
      <c r="L80" s="4"/>
      <c r="M80" s="4"/>
      <c r="N80" s="4"/>
      <c r="O80" s="4"/>
      <c r="P80" s="4"/>
      <c r="Q80" s="4"/>
      <c r="R80" s="4"/>
      <c r="S80" s="4"/>
      <c r="T80" s="4"/>
      <c r="U80" s="4"/>
      <c r="V80" s="4"/>
      <c r="W80" s="4"/>
      <c r="X80" s="4"/>
      <c r="Y80" s="4"/>
      <c r="Z80" s="4"/>
    </row>
    <row r="81" spans="1:26" ht="13.2">
      <c r="A81" s="151">
        <v>36</v>
      </c>
      <c r="B81" s="152" t="s">
        <v>808</v>
      </c>
      <c r="C81" s="133">
        <v>468</v>
      </c>
      <c r="D81" s="131">
        <v>1</v>
      </c>
      <c r="E81" s="133">
        <f t="shared" si="2"/>
        <v>468</v>
      </c>
      <c r="F81" s="134" t="s">
        <v>809</v>
      </c>
      <c r="G81" s="136" t="s">
        <v>795</v>
      </c>
      <c r="H81" s="4"/>
      <c r="I81" s="4"/>
      <c r="J81" s="4"/>
      <c r="K81" s="4"/>
      <c r="L81" s="4"/>
      <c r="M81" s="4"/>
      <c r="N81" s="4"/>
      <c r="O81" s="4"/>
      <c r="P81" s="4"/>
      <c r="Q81" s="4"/>
      <c r="R81" s="4"/>
      <c r="S81" s="4"/>
      <c r="T81" s="4"/>
      <c r="U81" s="4"/>
      <c r="V81" s="4"/>
      <c r="W81" s="4"/>
      <c r="X81" s="4"/>
      <c r="Y81" s="4"/>
      <c r="Z81" s="4"/>
    </row>
    <row r="82" spans="1:26" ht="13.2">
      <c r="A82" s="151">
        <v>37</v>
      </c>
      <c r="B82" s="152" t="s">
        <v>810</v>
      </c>
      <c r="C82" s="133">
        <v>118</v>
      </c>
      <c r="D82" s="131">
        <v>2</v>
      </c>
      <c r="E82" s="133">
        <f t="shared" si="2"/>
        <v>236</v>
      </c>
      <c r="F82" s="134" t="s">
        <v>811</v>
      </c>
      <c r="G82" s="136" t="s">
        <v>795</v>
      </c>
      <c r="H82" s="4"/>
      <c r="I82" s="4"/>
      <c r="J82" s="4"/>
      <c r="K82" s="4"/>
      <c r="L82" s="4"/>
      <c r="M82" s="4"/>
      <c r="N82" s="4"/>
      <c r="O82" s="4"/>
      <c r="P82" s="4"/>
      <c r="Q82" s="4"/>
      <c r="R82" s="4"/>
      <c r="S82" s="4"/>
      <c r="T82" s="4"/>
      <c r="U82" s="4"/>
      <c r="V82" s="4"/>
      <c r="W82" s="4"/>
      <c r="X82" s="4"/>
      <c r="Y82" s="4"/>
      <c r="Z82" s="4"/>
    </row>
    <row r="83" spans="1:26" ht="13.2">
      <c r="A83" s="151">
        <v>38</v>
      </c>
      <c r="B83" s="152" t="s">
        <v>812</v>
      </c>
      <c r="C83" s="133">
        <v>883</v>
      </c>
      <c r="D83" s="131">
        <v>1</v>
      </c>
      <c r="E83" s="133">
        <f t="shared" si="2"/>
        <v>883</v>
      </c>
      <c r="F83" s="134" t="s">
        <v>813</v>
      </c>
      <c r="G83" s="136" t="s">
        <v>795</v>
      </c>
      <c r="H83" s="4"/>
      <c r="I83" s="4"/>
      <c r="J83" s="4"/>
      <c r="K83" s="4"/>
      <c r="L83" s="4"/>
      <c r="M83" s="4"/>
      <c r="N83" s="4"/>
      <c r="O83" s="4"/>
      <c r="P83" s="4"/>
      <c r="Q83" s="4"/>
      <c r="R83" s="4"/>
      <c r="S83" s="4"/>
      <c r="T83" s="4"/>
      <c r="U83" s="4"/>
      <c r="V83" s="4"/>
      <c r="W83" s="4"/>
      <c r="X83" s="4"/>
      <c r="Y83" s="4"/>
      <c r="Z83" s="4"/>
    </row>
    <row r="84" spans="1:26" ht="13.2">
      <c r="A84" s="151">
        <v>39</v>
      </c>
      <c r="B84" s="152" t="s">
        <v>814</v>
      </c>
      <c r="C84" s="133">
        <v>22</v>
      </c>
      <c r="D84" s="131">
        <v>10</v>
      </c>
      <c r="E84" s="133">
        <f t="shared" si="2"/>
        <v>220</v>
      </c>
      <c r="F84" s="134" t="s">
        <v>815</v>
      </c>
      <c r="G84" s="136" t="s">
        <v>795</v>
      </c>
      <c r="H84" s="4"/>
      <c r="I84" s="4"/>
      <c r="J84" s="4"/>
      <c r="K84" s="4"/>
      <c r="L84" s="4"/>
      <c r="M84" s="4"/>
      <c r="N84" s="4"/>
      <c r="O84" s="4"/>
      <c r="P84" s="4"/>
      <c r="Q84" s="4"/>
      <c r="R84" s="4"/>
      <c r="S84" s="4"/>
      <c r="T84" s="4"/>
      <c r="U84" s="4"/>
      <c r="V84" s="4"/>
      <c r="W84" s="4"/>
      <c r="X84" s="4"/>
      <c r="Y84" s="4"/>
      <c r="Z84" s="4"/>
    </row>
    <row r="85" spans="1:26" ht="13.2">
      <c r="A85" s="139">
        <v>40</v>
      </c>
      <c r="B85" s="152" t="s">
        <v>816</v>
      </c>
      <c r="C85" s="133">
        <v>23</v>
      </c>
      <c r="D85" s="131">
        <v>10</v>
      </c>
      <c r="E85" s="133">
        <f t="shared" si="2"/>
        <v>230</v>
      </c>
      <c r="F85" s="134" t="s">
        <v>817</v>
      </c>
      <c r="G85" s="136" t="s">
        <v>795</v>
      </c>
      <c r="H85" s="4"/>
      <c r="I85" s="4"/>
      <c r="J85" s="4"/>
      <c r="K85" s="4"/>
      <c r="L85" s="4"/>
      <c r="M85" s="4"/>
      <c r="N85" s="4"/>
      <c r="O85" s="4"/>
      <c r="P85" s="4"/>
      <c r="Q85" s="4"/>
      <c r="R85" s="4"/>
      <c r="S85" s="4"/>
      <c r="T85" s="4"/>
      <c r="U85" s="4"/>
      <c r="V85" s="4"/>
      <c r="W85" s="4"/>
      <c r="X85" s="4"/>
      <c r="Y85" s="4"/>
      <c r="Z85" s="4"/>
    </row>
    <row r="86" spans="1:26" ht="13.2">
      <c r="A86" s="151">
        <v>41</v>
      </c>
      <c r="B86" s="152" t="s">
        <v>818</v>
      </c>
      <c r="C86" s="133">
        <v>1004</v>
      </c>
      <c r="D86" s="131">
        <v>1</v>
      </c>
      <c r="E86" s="133">
        <f t="shared" si="2"/>
        <v>1004</v>
      </c>
      <c r="F86" s="134" t="s">
        <v>819</v>
      </c>
      <c r="G86" s="136" t="s">
        <v>795</v>
      </c>
      <c r="H86" s="4"/>
      <c r="I86" s="4"/>
      <c r="J86" s="4"/>
      <c r="K86" s="4"/>
      <c r="L86" s="4"/>
      <c r="M86" s="4"/>
      <c r="N86" s="4"/>
      <c r="O86" s="4"/>
      <c r="P86" s="4"/>
      <c r="Q86" s="4"/>
      <c r="R86" s="4"/>
      <c r="S86" s="4"/>
      <c r="T86" s="4"/>
      <c r="U86" s="4"/>
      <c r="V86" s="4"/>
      <c r="W86" s="4"/>
      <c r="X86" s="4"/>
      <c r="Y86" s="4"/>
      <c r="Z86" s="4"/>
    </row>
    <row r="87" spans="1:26" ht="13.2">
      <c r="A87" s="151">
        <v>42</v>
      </c>
      <c r="B87" s="152" t="s">
        <v>820</v>
      </c>
      <c r="C87" s="133">
        <v>534</v>
      </c>
      <c r="D87" s="131">
        <v>1</v>
      </c>
      <c r="E87" s="133">
        <f t="shared" si="2"/>
        <v>534</v>
      </c>
      <c r="F87" s="134" t="s">
        <v>821</v>
      </c>
      <c r="G87" s="136" t="s">
        <v>795</v>
      </c>
      <c r="H87" s="4"/>
      <c r="I87" s="4"/>
      <c r="J87" s="4"/>
      <c r="K87" s="4"/>
      <c r="L87" s="4"/>
      <c r="M87" s="4"/>
      <c r="N87" s="4"/>
      <c r="O87" s="4"/>
      <c r="P87" s="4"/>
      <c r="Q87" s="4"/>
      <c r="R87" s="4"/>
      <c r="S87" s="4"/>
      <c r="T87" s="4"/>
      <c r="U87" s="4"/>
      <c r="V87" s="4"/>
      <c r="W87" s="4"/>
      <c r="X87" s="4"/>
      <c r="Y87" s="4"/>
      <c r="Z87" s="4"/>
    </row>
    <row r="88" spans="1:26" ht="13.2">
      <c r="A88" s="151">
        <v>43</v>
      </c>
      <c r="B88" s="152" t="s">
        <v>822</v>
      </c>
      <c r="C88" s="133">
        <v>11</v>
      </c>
      <c r="D88" s="131">
        <v>10</v>
      </c>
      <c r="E88" s="133">
        <f t="shared" si="2"/>
        <v>110</v>
      </c>
      <c r="F88" s="134" t="s">
        <v>823</v>
      </c>
      <c r="G88" s="136" t="s">
        <v>795</v>
      </c>
      <c r="H88" s="4"/>
      <c r="I88" s="4"/>
      <c r="J88" s="4"/>
      <c r="K88" s="4"/>
      <c r="L88" s="4"/>
      <c r="M88" s="4"/>
      <c r="N88" s="4"/>
      <c r="O88" s="4"/>
      <c r="P88" s="4"/>
      <c r="Q88" s="4"/>
      <c r="R88" s="4"/>
      <c r="S88" s="4"/>
      <c r="T88" s="4"/>
      <c r="U88" s="4"/>
      <c r="V88" s="4"/>
      <c r="W88" s="4"/>
      <c r="X88" s="4"/>
      <c r="Y88" s="4"/>
      <c r="Z88" s="4"/>
    </row>
    <row r="89" spans="1:26" ht="13.2">
      <c r="A89" s="151">
        <v>44</v>
      </c>
      <c r="B89" s="152" t="s">
        <v>824</v>
      </c>
      <c r="C89" s="133">
        <v>3099</v>
      </c>
      <c r="D89" s="131">
        <v>2</v>
      </c>
      <c r="E89" s="133">
        <f t="shared" ref="E89:E93" si="3">C89 * D89</f>
        <v>6198</v>
      </c>
      <c r="F89" s="134" t="s">
        <v>825</v>
      </c>
      <c r="G89" s="136" t="s">
        <v>826</v>
      </c>
      <c r="H89" s="4"/>
      <c r="I89" s="4"/>
      <c r="J89" s="4"/>
      <c r="K89" s="4"/>
      <c r="L89" s="4"/>
      <c r="M89" s="4"/>
      <c r="N89" s="4"/>
      <c r="O89" s="4"/>
      <c r="P89" s="4"/>
      <c r="Q89" s="4"/>
      <c r="R89" s="4"/>
      <c r="S89" s="4"/>
      <c r="T89" s="4"/>
      <c r="U89" s="4"/>
      <c r="V89" s="4"/>
      <c r="W89" s="4"/>
      <c r="X89" s="4"/>
      <c r="Y89" s="4"/>
      <c r="Z89" s="4"/>
    </row>
    <row r="90" spans="1:26" ht="13.2">
      <c r="A90" s="151">
        <v>45</v>
      </c>
      <c r="B90" s="152" t="s">
        <v>827</v>
      </c>
      <c r="C90" s="133">
        <v>343</v>
      </c>
      <c r="D90" s="131">
        <v>3</v>
      </c>
      <c r="E90" s="133">
        <f t="shared" si="3"/>
        <v>1029</v>
      </c>
      <c r="F90" s="134" t="s">
        <v>828</v>
      </c>
      <c r="G90" s="136" t="s">
        <v>826</v>
      </c>
      <c r="H90" s="4"/>
      <c r="I90" s="4"/>
      <c r="J90" s="4"/>
      <c r="K90" s="4"/>
      <c r="L90" s="4"/>
      <c r="M90" s="4"/>
      <c r="N90" s="4"/>
      <c r="O90" s="4"/>
      <c r="P90" s="4"/>
      <c r="Q90" s="4"/>
      <c r="R90" s="4"/>
      <c r="S90" s="4"/>
      <c r="T90" s="4"/>
      <c r="U90" s="4"/>
      <c r="V90" s="4"/>
      <c r="W90" s="4"/>
      <c r="X90" s="4"/>
      <c r="Y90" s="4"/>
      <c r="Z90" s="4"/>
    </row>
    <row r="91" spans="1:26" ht="13.2">
      <c r="A91" s="139">
        <v>46</v>
      </c>
      <c r="B91" s="152" t="s">
        <v>829</v>
      </c>
      <c r="C91" s="133">
        <v>699</v>
      </c>
      <c r="D91" s="131">
        <v>3</v>
      </c>
      <c r="E91" s="133">
        <f t="shared" si="3"/>
        <v>2097</v>
      </c>
      <c r="F91" s="134" t="s">
        <v>830</v>
      </c>
      <c r="G91" s="136" t="s">
        <v>826</v>
      </c>
      <c r="H91" s="4"/>
      <c r="I91" s="4"/>
      <c r="J91" s="4"/>
      <c r="K91" s="4"/>
      <c r="L91" s="4"/>
      <c r="M91" s="4"/>
      <c r="N91" s="4"/>
      <c r="O91" s="4"/>
      <c r="P91" s="4"/>
      <c r="Q91" s="4"/>
      <c r="R91" s="4"/>
      <c r="S91" s="4"/>
      <c r="T91" s="4"/>
      <c r="U91" s="4"/>
      <c r="V91" s="4"/>
      <c r="W91" s="4"/>
      <c r="X91" s="4"/>
      <c r="Y91" s="4"/>
      <c r="Z91" s="4"/>
    </row>
    <row r="92" spans="1:26" ht="13.2">
      <c r="A92" s="151">
        <v>47</v>
      </c>
      <c r="B92" s="152" t="s">
        <v>831</v>
      </c>
      <c r="C92" s="133">
        <v>1999</v>
      </c>
      <c r="D92" s="131">
        <v>3</v>
      </c>
      <c r="E92" s="133">
        <f t="shared" si="3"/>
        <v>5997</v>
      </c>
      <c r="F92" s="134" t="s">
        <v>832</v>
      </c>
      <c r="G92" s="136" t="s">
        <v>826</v>
      </c>
      <c r="H92" s="4"/>
      <c r="I92" s="4"/>
      <c r="J92" s="4"/>
      <c r="K92" s="4"/>
      <c r="L92" s="4"/>
      <c r="M92" s="4"/>
      <c r="N92" s="4"/>
      <c r="O92" s="4"/>
      <c r="P92" s="4"/>
      <c r="Q92" s="4"/>
      <c r="R92" s="4"/>
      <c r="S92" s="4"/>
      <c r="T92" s="4"/>
      <c r="U92" s="4"/>
      <c r="V92" s="4"/>
      <c r="W92" s="4"/>
      <c r="X92" s="4"/>
      <c r="Y92" s="4"/>
      <c r="Z92" s="4"/>
    </row>
    <row r="93" spans="1:26" ht="13.2">
      <c r="A93" s="151">
        <v>48</v>
      </c>
      <c r="B93" s="152" t="s">
        <v>833</v>
      </c>
      <c r="C93" s="133">
        <v>3034</v>
      </c>
      <c r="D93" s="131">
        <v>3</v>
      </c>
      <c r="E93" s="133">
        <f t="shared" si="3"/>
        <v>9102</v>
      </c>
      <c r="F93" s="134" t="s">
        <v>834</v>
      </c>
      <c r="G93" s="136" t="s">
        <v>826</v>
      </c>
      <c r="H93" s="4"/>
      <c r="I93" s="4"/>
      <c r="J93" s="4"/>
      <c r="K93" s="4"/>
      <c r="L93" s="4"/>
      <c r="M93" s="4"/>
      <c r="N93" s="4"/>
      <c r="O93" s="4"/>
      <c r="P93" s="4"/>
      <c r="Q93" s="4"/>
      <c r="R93" s="4"/>
      <c r="S93" s="4"/>
      <c r="T93" s="4"/>
      <c r="U93" s="4"/>
      <c r="V93" s="4"/>
      <c r="W93" s="4"/>
      <c r="X93" s="4"/>
      <c r="Y93" s="4"/>
      <c r="Z93" s="4"/>
    </row>
    <row r="94" spans="1:26" ht="13.2">
      <c r="A94" s="151">
        <v>49</v>
      </c>
      <c r="B94" s="152" t="s">
        <v>835</v>
      </c>
      <c r="C94" s="133">
        <v>17</v>
      </c>
      <c r="D94" s="131">
        <v>10</v>
      </c>
      <c r="E94" s="133">
        <f t="shared" ref="E94:E99" si="4">C94*D94</f>
        <v>170</v>
      </c>
      <c r="F94" s="134" t="s">
        <v>836</v>
      </c>
      <c r="G94" s="136" t="s">
        <v>826</v>
      </c>
      <c r="H94" s="4"/>
      <c r="I94" s="4"/>
      <c r="J94" s="4"/>
      <c r="K94" s="4"/>
      <c r="L94" s="4"/>
      <c r="M94" s="4"/>
      <c r="N94" s="4"/>
      <c r="O94" s="4"/>
      <c r="P94" s="4"/>
      <c r="Q94" s="4"/>
      <c r="R94" s="4"/>
      <c r="S94" s="4"/>
      <c r="T94" s="4"/>
      <c r="U94" s="4"/>
      <c r="V94" s="4"/>
      <c r="W94" s="4"/>
      <c r="X94" s="4"/>
      <c r="Y94" s="4"/>
      <c r="Z94" s="4"/>
    </row>
    <row r="95" spans="1:26" ht="13.2">
      <c r="A95" s="151">
        <v>50</v>
      </c>
      <c r="B95" s="152" t="s">
        <v>837</v>
      </c>
      <c r="C95" s="133">
        <v>88</v>
      </c>
      <c r="D95" s="131">
        <v>5</v>
      </c>
      <c r="E95" s="133">
        <f t="shared" si="4"/>
        <v>440</v>
      </c>
      <c r="F95" s="134" t="s">
        <v>838</v>
      </c>
      <c r="G95" s="136" t="s">
        <v>826</v>
      </c>
      <c r="H95" s="4"/>
      <c r="I95" s="4"/>
      <c r="J95" s="4"/>
      <c r="K95" s="4"/>
      <c r="L95" s="4"/>
      <c r="M95" s="4"/>
      <c r="N95" s="4"/>
      <c r="O95" s="4"/>
      <c r="P95" s="4"/>
      <c r="Q95" s="4"/>
      <c r="R95" s="4"/>
      <c r="S95" s="4"/>
      <c r="T95" s="4"/>
      <c r="U95" s="4"/>
      <c r="V95" s="4"/>
      <c r="W95" s="4"/>
      <c r="X95" s="4"/>
      <c r="Y95" s="4"/>
      <c r="Z95" s="4"/>
    </row>
    <row r="96" spans="1:26" ht="13.2">
      <c r="A96" s="151">
        <v>51</v>
      </c>
      <c r="B96" s="152" t="s">
        <v>839</v>
      </c>
      <c r="C96" s="133">
        <v>58</v>
      </c>
      <c r="D96" s="131">
        <v>4</v>
      </c>
      <c r="E96" s="133">
        <f t="shared" si="4"/>
        <v>232</v>
      </c>
      <c r="F96" s="134" t="s">
        <v>840</v>
      </c>
      <c r="G96" s="136" t="s">
        <v>826</v>
      </c>
      <c r="H96" s="4"/>
      <c r="I96" s="4"/>
      <c r="J96" s="4"/>
      <c r="K96" s="4"/>
      <c r="L96" s="4"/>
      <c r="M96" s="4"/>
      <c r="N96" s="4"/>
      <c r="O96" s="4"/>
      <c r="P96" s="4"/>
      <c r="Q96" s="4"/>
      <c r="R96" s="4"/>
      <c r="S96" s="4"/>
      <c r="T96" s="4"/>
      <c r="U96" s="4"/>
      <c r="V96" s="4"/>
      <c r="W96" s="4"/>
      <c r="X96" s="4"/>
      <c r="Y96" s="4"/>
      <c r="Z96" s="4"/>
    </row>
    <row r="97" spans="1:26" ht="13.2">
      <c r="A97" s="139">
        <v>52</v>
      </c>
      <c r="B97" s="152" t="s">
        <v>841</v>
      </c>
      <c r="C97" s="133">
        <v>371</v>
      </c>
      <c r="D97" s="131">
        <v>4</v>
      </c>
      <c r="E97" s="133">
        <f t="shared" si="4"/>
        <v>1484</v>
      </c>
      <c r="F97" s="134" t="s">
        <v>842</v>
      </c>
      <c r="G97" s="136" t="s">
        <v>826</v>
      </c>
      <c r="H97" s="4"/>
      <c r="I97" s="4"/>
      <c r="J97" s="4"/>
      <c r="K97" s="4"/>
      <c r="L97" s="4"/>
      <c r="M97" s="4"/>
      <c r="N97" s="4"/>
      <c r="O97" s="4"/>
      <c r="P97" s="4"/>
      <c r="Q97" s="4"/>
      <c r="R97" s="4"/>
      <c r="S97" s="4"/>
      <c r="T97" s="4"/>
      <c r="U97" s="4"/>
      <c r="V97" s="4"/>
      <c r="W97" s="4"/>
      <c r="X97" s="4"/>
      <c r="Y97" s="4"/>
      <c r="Z97" s="4"/>
    </row>
    <row r="98" spans="1:26" ht="13.2">
      <c r="A98" s="151">
        <v>53</v>
      </c>
      <c r="B98" s="152" t="s">
        <v>843</v>
      </c>
      <c r="C98" s="133">
        <v>6385</v>
      </c>
      <c r="D98" s="131">
        <v>1</v>
      </c>
      <c r="E98" s="133">
        <f t="shared" si="4"/>
        <v>6385</v>
      </c>
      <c r="F98" s="134" t="s">
        <v>844</v>
      </c>
      <c r="G98" s="136" t="s">
        <v>826</v>
      </c>
      <c r="H98" s="4"/>
      <c r="I98" s="4"/>
      <c r="J98" s="4"/>
      <c r="K98" s="4"/>
      <c r="L98" s="4"/>
      <c r="M98" s="4"/>
      <c r="N98" s="4"/>
      <c r="O98" s="4"/>
      <c r="P98" s="4"/>
      <c r="Q98" s="4"/>
      <c r="R98" s="4"/>
      <c r="S98" s="4"/>
      <c r="T98" s="4"/>
      <c r="U98" s="4"/>
      <c r="V98" s="4"/>
      <c r="W98" s="4"/>
      <c r="X98" s="4"/>
      <c r="Y98" s="4"/>
      <c r="Z98" s="4"/>
    </row>
    <row r="99" spans="1:26" ht="13.2">
      <c r="A99" s="151">
        <v>54</v>
      </c>
      <c r="B99" s="152" t="s">
        <v>845</v>
      </c>
      <c r="C99" s="133">
        <v>8719</v>
      </c>
      <c r="D99" s="131">
        <v>1</v>
      </c>
      <c r="E99" s="133">
        <f t="shared" si="4"/>
        <v>8719</v>
      </c>
      <c r="F99" s="134" t="s">
        <v>846</v>
      </c>
      <c r="G99" s="136" t="s">
        <v>826</v>
      </c>
      <c r="H99" s="4"/>
      <c r="I99" s="4"/>
      <c r="J99" s="4"/>
      <c r="K99" s="4"/>
      <c r="L99" s="4"/>
      <c r="M99" s="4"/>
      <c r="N99" s="4"/>
      <c r="O99" s="4"/>
      <c r="P99" s="4"/>
      <c r="Q99" s="4"/>
      <c r="R99" s="4"/>
      <c r="S99" s="4"/>
      <c r="T99" s="4"/>
      <c r="U99" s="4"/>
      <c r="V99" s="4"/>
      <c r="W99" s="4"/>
      <c r="X99" s="4"/>
      <c r="Y99" s="4"/>
      <c r="Z99" s="4"/>
    </row>
    <row r="100" spans="1:26" ht="13.2">
      <c r="A100" s="151">
        <v>55</v>
      </c>
      <c r="B100" s="152" t="s">
        <v>847</v>
      </c>
      <c r="C100" s="133">
        <v>14341</v>
      </c>
      <c r="D100" s="131">
        <v>2</v>
      </c>
      <c r="E100" s="133">
        <v>28682</v>
      </c>
      <c r="F100" s="158" t="s">
        <v>848</v>
      </c>
      <c r="G100" s="136" t="s">
        <v>849</v>
      </c>
      <c r="H100" s="4" t="s">
        <v>850</v>
      </c>
      <c r="I100" s="4"/>
      <c r="J100" s="4"/>
      <c r="K100" s="4"/>
      <c r="L100" s="4"/>
      <c r="M100" s="4"/>
      <c r="N100" s="4"/>
      <c r="O100" s="4"/>
      <c r="P100" s="4"/>
      <c r="Q100" s="4"/>
      <c r="R100" s="4"/>
      <c r="S100" s="4"/>
      <c r="T100" s="4"/>
      <c r="U100" s="4"/>
      <c r="V100" s="4"/>
      <c r="W100" s="4"/>
      <c r="X100" s="4"/>
      <c r="Y100" s="4"/>
      <c r="Z100" s="4"/>
    </row>
    <row r="101" spans="1:26" ht="13.2">
      <c r="A101" s="151">
        <v>56</v>
      </c>
      <c r="B101" s="152" t="s">
        <v>851</v>
      </c>
      <c r="C101" s="133">
        <v>789</v>
      </c>
      <c r="D101" s="131">
        <v>3</v>
      </c>
      <c r="E101" s="133">
        <f>C101*D101</f>
        <v>2367</v>
      </c>
      <c r="F101" s="159" t="s">
        <v>852</v>
      </c>
      <c r="G101" s="136" t="s">
        <v>849</v>
      </c>
      <c r="H101" s="4"/>
      <c r="I101" s="4"/>
      <c r="J101" s="4"/>
      <c r="K101" s="4"/>
      <c r="L101" s="4"/>
      <c r="M101" s="4"/>
      <c r="N101" s="4"/>
      <c r="O101" s="4"/>
      <c r="P101" s="4"/>
      <c r="Q101" s="4"/>
      <c r="R101" s="4"/>
      <c r="S101" s="4"/>
      <c r="T101" s="4"/>
      <c r="U101" s="4"/>
      <c r="V101" s="4"/>
      <c r="W101" s="4"/>
      <c r="X101" s="4"/>
      <c r="Y101" s="4"/>
      <c r="Z101" s="4"/>
    </row>
    <row r="102" spans="1:26" ht="13.2">
      <c r="A102" s="160">
        <v>57</v>
      </c>
      <c r="B102" s="161" t="s">
        <v>853</v>
      </c>
      <c r="C102" s="162" t="s">
        <v>381</v>
      </c>
      <c r="D102" s="162" t="s">
        <v>381</v>
      </c>
      <c r="E102" s="163">
        <v>10000</v>
      </c>
      <c r="F102" s="164"/>
      <c r="G102" s="165"/>
      <c r="H102" s="4"/>
      <c r="I102" s="4"/>
      <c r="J102" s="4"/>
      <c r="K102" s="4"/>
      <c r="L102" s="4"/>
      <c r="M102" s="4"/>
      <c r="N102" s="4"/>
      <c r="O102" s="4"/>
      <c r="P102" s="4"/>
      <c r="Q102" s="4"/>
      <c r="R102" s="4"/>
      <c r="S102" s="4"/>
      <c r="T102" s="4"/>
      <c r="U102" s="4"/>
      <c r="V102" s="4"/>
      <c r="W102" s="4"/>
      <c r="X102" s="4"/>
      <c r="Y102" s="4"/>
      <c r="Z102" s="4"/>
    </row>
    <row r="103" spans="1:26" ht="13.2">
      <c r="A103" s="237" t="s">
        <v>5</v>
      </c>
      <c r="B103" s="238"/>
      <c r="C103" s="238"/>
      <c r="D103" s="239"/>
      <c r="E103" s="166" t="e">
        <f ca="1">SUM(E46:E102)</f>
        <v>#NAME?</v>
      </c>
      <c r="F103" s="167"/>
      <c r="G103" s="168"/>
      <c r="H103" s="4"/>
      <c r="I103" s="4"/>
      <c r="J103" s="4"/>
      <c r="K103" s="4"/>
      <c r="L103" s="4"/>
      <c r="M103" s="4"/>
      <c r="N103" s="4"/>
      <c r="O103" s="4"/>
      <c r="P103" s="4"/>
      <c r="Q103" s="4"/>
      <c r="R103" s="4"/>
      <c r="S103" s="4"/>
      <c r="T103" s="4"/>
      <c r="U103" s="4"/>
      <c r="V103" s="4"/>
      <c r="W103" s="4"/>
      <c r="X103" s="4"/>
      <c r="Y103" s="4"/>
      <c r="Z103" s="4"/>
    </row>
    <row r="104" spans="1:26" ht="13.2">
      <c r="A104" s="169"/>
      <c r="B104" s="169"/>
      <c r="C104" s="169"/>
      <c r="D104" s="169"/>
      <c r="E104" s="170"/>
      <c r="F104" s="167"/>
      <c r="G104" s="168"/>
      <c r="H104" s="4"/>
      <c r="I104" s="4"/>
      <c r="J104" s="4"/>
      <c r="K104" s="4"/>
      <c r="L104" s="4"/>
      <c r="M104" s="4"/>
      <c r="N104" s="4"/>
      <c r="O104" s="4"/>
      <c r="P104" s="4"/>
      <c r="Q104" s="4"/>
      <c r="R104" s="4"/>
      <c r="S104" s="4"/>
      <c r="T104" s="4"/>
      <c r="U104" s="4"/>
      <c r="V104" s="4"/>
      <c r="W104" s="4"/>
      <c r="X104" s="4"/>
      <c r="Y104" s="4"/>
      <c r="Z104" s="4"/>
    </row>
    <row r="105" spans="1:26" ht="13.2">
      <c r="A105" s="169"/>
      <c r="B105" s="169"/>
      <c r="C105" s="169"/>
      <c r="D105" s="169"/>
      <c r="E105" s="170"/>
      <c r="F105" s="167"/>
      <c r="G105" s="168"/>
      <c r="H105" s="4"/>
      <c r="I105" s="4"/>
      <c r="J105" s="4"/>
      <c r="K105" s="4"/>
      <c r="L105" s="4"/>
      <c r="M105" s="4"/>
      <c r="N105" s="4"/>
      <c r="O105" s="4"/>
      <c r="P105" s="4"/>
      <c r="Q105" s="4"/>
      <c r="R105" s="4"/>
      <c r="S105" s="4"/>
      <c r="T105" s="4"/>
      <c r="U105" s="4"/>
      <c r="V105" s="4"/>
      <c r="W105" s="4"/>
      <c r="X105" s="4"/>
      <c r="Y105" s="4"/>
      <c r="Z105" s="4"/>
    </row>
    <row r="106" spans="1:26" ht="13.2">
      <c r="A106" s="4"/>
      <c r="B106" s="6"/>
      <c r="C106" s="170"/>
      <c r="D106" s="170"/>
      <c r="E106" s="170"/>
      <c r="F106" s="167"/>
      <c r="G106" s="168"/>
      <c r="H106" s="4"/>
      <c r="I106" s="4"/>
      <c r="J106" s="4"/>
      <c r="K106" s="4"/>
      <c r="L106" s="4"/>
      <c r="M106" s="4"/>
      <c r="N106" s="4"/>
      <c r="O106" s="4"/>
      <c r="P106" s="4"/>
      <c r="Q106" s="4"/>
      <c r="R106" s="4"/>
      <c r="S106" s="4"/>
      <c r="T106" s="4"/>
      <c r="U106" s="4"/>
      <c r="V106" s="4"/>
      <c r="W106" s="4"/>
      <c r="X106" s="4"/>
      <c r="Y106" s="4"/>
      <c r="Z106" s="4"/>
    </row>
    <row r="107" spans="1:26" ht="32.25" customHeight="1">
      <c r="A107" s="225" t="s">
        <v>110</v>
      </c>
      <c r="B107" s="226"/>
      <c r="C107" s="226"/>
      <c r="D107" s="226"/>
      <c r="E107" s="226"/>
      <c r="F107" s="227"/>
      <c r="G107" s="4"/>
      <c r="H107" s="4"/>
      <c r="I107" s="4"/>
      <c r="J107" s="4"/>
      <c r="K107" s="4"/>
      <c r="L107" s="4"/>
      <c r="M107" s="4"/>
      <c r="N107" s="4"/>
      <c r="O107" s="4"/>
      <c r="P107" s="4"/>
      <c r="Q107" s="4"/>
      <c r="R107" s="4"/>
      <c r="S107" s="4"/>
      <c r="T107" s="4"/>
      <c r="U107" s="4"/>
      <c r="V107" s="4"/>
      <c r="W107" s="4"/>
      <c r="X107" s="4"/>
      <c r="Y107" s="4"/>
      <c r="Z107" s="4"/>
    </row>
    <row r="108" spans="1:26" ht="13.2">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c r="A109" s="4" t="s">
        <v>854</v>
      </c>
      <c r="B109" s="4"/>
      <c r="C109" s="171"/>
      <c r="D109" s="171"/>
      <c r="E109" s="4"/>
      <c r="F109" s="4"/>
      <c r="G109" s="4"/>
      <c r="H109" s="4"/>
      <c r="I109" s="4"/>
      <c r="J109" s="4"/>
      <c r="K109" s="4"/>
      <c r="L109" s="4"/>
      <c r="M109" s="4"/>
      <c r="N109" s="4"/>
      <c r="O109" s="4"/>
      <c r="P109" s="4"/>
      <c r="Q109" s="4"/>
      <c r="R109" s="4"/>
      <c r="S109" s="4"/>
      <c r="T109" s="4"/>
      <c r="U109" s="4"/>
      <c r="V109" s="4"/>
      <c r="W109" s="4"/>
      <c r="X109" s="4"/>
      <c r="Y109" s="4"/>
      <c r="Z109" s="4"/>
    </row>
    <row r="110" spans="1:26" ht="13.2">
      <c r="A110" s="4" t="s">
        <v>855</v>
      </c>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c r="A111" s="8" t="s">
        <v>44</v>
      </c>
      <c r="B111" s="8" t="s">
        <v>46</v>
      </c>
      <c r="C111" s="8" t="s">
        <v>47</v>
      </c>
      <c r="D111" s="8" t="s">
        <v>48</v>
      </c>
      <c r="E111" s="8" t="s">
        <v>9</v>
      </c>
      <c r="F111" s="8" t="s">
        <v>52</v>
      </c>
      <c r="G111" s="4"/>
      <c r="H111" s="4"/>
      <c r="I111" s="4"/>
      <c r="J111" s="4"/>
      <c r="K111" s="4"/>
      <c r="L111" s="4"/>
      <c r="M111" s="4"/>
      <c r="N111" s="4"/>
      <c r="O111" s="4"/>
      <c r="P111" s="4"/>
      <c r="Q111" s="4"/>
      <c r="R111" s="4"/>
      <c r="S111" s="4"/>
      <c r="T111" s="4"/>
      <c r="U111" s="4"/>
      <c r="V111" s="4"/>
      <c r="W111" s="4"/>
      <c r="X111" s="4"/>
      <c r="Y111" s="4"/>
      <c r="Z111" s="4"/>
    </row>
    <row r="112" spans="1:26" ht="13.2">
      <c r="A112" s="131">
        <v>1</v>
      </c>
      <c r="B112" s="132" t="s">
        <v>856</v>
      </c>
      <c r="C112" s="172" t="s">
        <v>381</v>
      </c>
      <c r="D112" s="172" t="s">
        <v>381</v>
      </c>
      <c r="E112" s="173">
        <v>14800</v>
      </c>
      <c r="F112" s="172"/>
      <c r="G112" s="4"/>
      <c r="H112" s="4"/>
      <c r="I112" s="4"/>
      <c r="J112" s="4"/>
      <c r="K112" s="4"/>
      <c r="L112" s="4"/>
      <c r="M112" s="4"/>
      <c r="N112" s="4"/>
      <c r="O112" s="4"/>
      <c r="P112" s="4"/>
      <c r="Q112" s="4"/>
      <c r="R112" s="4"/>
      <c r="S112" s="4"/>
      <c r="T112" s="4"/>
      <c r="U112" s="4"/>
      <c r="V112" s="4"/>
      <c r="W112" s="4"/>
      <c r="X112" s="4"/>
      <c r="Y112" s="4"/>
      <c r="Z112" s="4"/>
    </row>
    <row r="113" spans="1:26" ht="13.2">
      <c r="A113" s="240" t="s">
        <v>5</v>
      </c>
      <c r="B113" s="226"/>
      <c r="C113" s="226"/>
      <c r="D113" s="227"/>
      <c r="E113" s="127">
        <f>SUM(E112)</f>
        <v>14800</v>
      </c>
      <c r="F113" s="165"/>
      <c r="G113" s="4"/>
      <c r="H113" s="4"/>
      <c r="I113" s="4"/>
      <c r="J113" s="4"/>
      <c r="K113" s="4"/>
      <c r="L113" s="4"/>
      <c r="M113" s="4"/>
      <c r="N113" s="4"/>
      <c r="O113" s="4"/>
      <c r="P113" s="4"/>
      <c r="Q113" s="4"/>
      <c r="R113" s="4"/>
      <c r="S113" s="4"/>
      <c r="T113" s="4"/>
      <c r="U113" s="4"/>
      <c r="V113" s="4"/>
      <c r="W113" s="4"/>
      <c r="X113" s="4"/>
      <c r="Y113" s="4"/>
      <c r="Z113" s="4"/>
    </row>
    <row r="114" spans="1:26" ht="13.2">
      <c r="A114" s="2"/>
      <c r="B114" s="4"/>
      <c r="C114" s="4"/>
      <c r="D114" s="4"/>
      <c r="E114" s="174"/>
      <c r="F114" s="4"/>
      <c r="G114" s="4"/>
      <c r="H114" s="4"/>
      <c r="I114" s="4"/>
      <c r="J114" s="4"/>
      <c r="K114" s="4"/>
      <c r="L114" s="4"/>
      <c r="M114" s="4"/>
      <c r="N114" s="4"/>
      <c r="O114" s="4"/>
      <c r="P114" s="4"/>
      <c r="Q114" s="4"/>
      <c r="R114" s="4"/>
      <c r="S114" s="4"/>
      <c r="T114" s="4"/>
      <c r="U114" s="4"/>
      <c r="V114" s="4"/>
      <c r="W114" s="4"/>
      <c r="X114" s="4"/>
      <c r="Y114" s="4"/>
      <c r="Z114" s="4"/>
    </row>
    <row r="115" spans="1:26" ht="13.2">
      <c r="A115" s="10" t="s">
        <v>857</v>
      </c>
      <c r="B115" s="4"/>
      <c r="C115" s="171"/>
      <c r="D115" s="171"/>
      <c r="E115" s="174"/>
      <c r="F115" s="4"/>
      <c r="G115" s="4"/>
      <c r="H115" s="4"/>
      <c r="I115" s="4"/>
      <c r="J115" s="4"/>
      <c r="K115" s="4"/>
      <c r="L115" s="4"/>
      <c r="M115" s="4"/>
      <c r="N115" s="4"/>
      <c r="O115" s="4"/>
      <c r="P115" s="4"/>
      <c r="Q115" s="4"/>
      <c r="R115" s="4"/>
      <c r="S115" s="4"/>
      <c r="T115" s="4"/>
      <c r="U115" s="4"/>
      <c r="V115" s="4"/>
      <c r="W115" s="4"/>
      <c r="X115" s="4"/>
      <c r="Y115" s="4"/>
      <c r="Z115" s="4"/>
    </row>
    <row r="116" spans="1:26" ht="13.2">
      <c r="A116" s="10" t="s">
        <v>858</v>
      </c>
      <c r="B116" s="4"/>
      <c r="C116" s="4"/>
      <c r="D116" s="4"/>
      <c r="E116" s="174"/>
      <c r="F116" s="4"/>
      <c r="G116" s="4"/>
      <c r="H116" s="4"/>
      <c r="I116" s="4"/>
      <c r="J116" s="4"/>
      <c r="K116" s="4"/>
      <c r="L116" s="4"/>
      <c r="M116" s="4"/>
      <c r="N116" s="4"/>
      <c r="O116" s="4"/>
      <c r="P116" s="4"/>
      <c r="Q116" s="4"/>
      <c r="R116" s="4"/>
      <c r="S116" s="4"/>
      <c r="T116" s="4"/>
      <c r="U116" s="4"/>
      <c r="V116" s="4"/>
      <c r="W116" s="4"/>
      <c r="X116" s="4"/>
      <c r="Y116" s="4"/>
      <c r="Z116" s="4"/>
    </row>
    <row r="117" spans="1:26" ht="13.2">
      <c r="A117" s="2"/>
      <c r="B117" s="4"/>
      <c r="C117" s="4"/>
      <c r="D117" s="4"/>
      <c r="E117" s="174"/>
      <c r="F117" s="4"/>
      <c r="G117" s="4"/>
      <c r="H117" s="4"/>
      <c r="I117" s="4"/>
      <c r="J117" s="4"/>
      <c r="K117" s="4"/>
      <c r="L117" s="4"/>
      <c r="M117" s="4"/>
      <c r="N117" s="4"/>
      <c r="O117" s="4"/>
      <c r="P117" s="4"/>
      <c r="Q117" s="4"/>
      <c r="R117" s="4"/>
      <c r="S117" s="4"/>
      <c r="T117" s="4"/>
      <c r="U117" s="4"/>
      <c r="V117" s="4"/>
      <c r="W117" s="4"/>
      <c r="X117" s="4"/>
      <c r="Y117" s="4"/>
      <c r="Z117" s="4"/>
    </row>
    <row r="118" spans="1:26" ht="13.2">
      <c r="A118" s="10" t="s">
        <v>859</v>
      </c>
      <c r="B118" s="4"/>
      <c r="C118" s="171"/>
      <c r="D118" s="171"/>
      <c r="E118" s="174"/>
      <c r="F118" s="4"/>
      <c r="G118" s="4"/>
      <c r="H118" s="4"/>
      <c r="I118" s="4"/>
      <c r="J118" s="4"/>
      <c r="K118" s="4"/>
      <c r="L118" s="4"/>
      <c r="M118" s="4"/>
      <c r="N118" s="4"/>
      <c r="O118" s="4"/>
      <c r="P118" s="4"/>
      <c r="Q118" s="4"/>
      <c r="R118" s="4"/>
      <c r="S118" s="4"/>
      <c r="T118" s="4"/>
      <c r="U118" s="4"/>
      <c r="V118" s="4"/>
      <c r="W118" s="4"/>
      <c r="X118" s="4"/>
      <c r="Y118" s="4"/>
      <c r="Z118" s="4"/>
    </row>
    <row r="119" spans="1:26" ht="13.2">
      <c r="A119" s="10" t="s">
        <v>860</v>
      </c>
      <c r="B119" s="4"/>
      <c r="C119" s="4"/>
      <c r="D119" s="4"/>
      <c r="E119" s="174"/>
      <c r="F119" s="4"/>
      <c r="G119" s="4"/>
      <c r="H119" s="4"/>
      <c r="I119" s="4"/>
      <c r="J119" s="4"/>
      <c r="K119" s="4"/>
      <c r="L119" s="4"/>
      <c r="M119" s="4"/>
      <c r="N119" s="4"/>
      <c r="O119" s="4"/>
      <c r="P119" s="4"/>
      <c r="Q119" s="4"/>
      <c r="R119" s="4"/>
      <c r="S119" s="4"/>
      <c r="T119" s="4"/>
      <c r="U119" s="4"/>
      <c r="V119" s="4"/>
      <c r="W119" s="4"/>
      <c r="X119" s="4"/>
      <c r="Y119" s="4"/>
      <c r="Z119" s="4"/>
    </row>
    <row r="120" spans="1:26" ht="13.2">
      <c r="A120" s="169"/>
      <c r="B120" s="169"/>
      <c r="C120" s="169"/>
      <c r="D120" s="169"/>
      <c r="E120" s="174"/>
      <c r="F120" s="4"/>
      <c r="G120" s="4"/>
      <c r="H120" s="4"/>
      <c r="I120" s="4"/>
      <c r="J120" s="4"/>
      <c r="K120" s="4"/>
      <c r="L120" s="4"/>
      <c r="M120" s="4"/>
      <c r="N120" s="4"/>
      <c r="O120" s="4"/>
      <c r="P120" s="4"/>
      <c r="Q120" s="4"/>
      <c r="R120" s="4"/>
      <c r="S120" s="4"/>
      <c r="T120" s="4"/>
      <c r="U120" s="4"/>
      <c r="V120" s="4"/>
      <c r="W120" s="4"/>
      <c r="X120" s="4"/>
      <c r="Y120" s="4"/>
      <c r="Z120" s="4"/>
    </row>
    <row r="121" spans="1:26" ht="13.2">
      <c r="A121" s="10" t="s">
        <v>861</v>
      </c>
      <c r="B121" s="4"/>
      <c r="C121" s="171"/>
      <c r="D121" s="171"/>
      <c r="E121" s="174"/>
      <c r="F121" s="4"/>
      <c r="G121" s="4"/>
      <c r="H121" s="4"/>
      <c r="I121" s="4"/>
      <c r="J121" s="4"/>
      <c r="K121" s="4"/>
      <c r="L121" s="4"/>
      <c r="M121" s="4"/>
      <c r="N121" s="4"/>
      <c r="O121" s="4"/>
      <c r="P121" s="4"/>
      <c r="Q121" s="4"/>
      <c r="R121" s="4"/>
      <c r="S121" s="4"/>
      <c r="T121" s="4"/>
      <c r="U121" s="4"/>
      <c r="V121" s="4"/>
      <c r="W121" s="4"/>
      <c r="X121" s="4"/>
      <c r="Y121" s="4"/>
      <c r="Z121" s="4"/>
    </row>
    <row r="122" spans="1:26" ht="13.2">
      <c r="A122" s="10" t="s">
        <v>862</v>
      </c>
      <c r="B122" s="4"/>
      <c r="C122" s="4"/>
      <c r="D122" s="4"/>
      <c r="E122" s="174"/>
      <c r="F122" s="4"/>
      <c r="G122" s="4"/>
      <c r="H122" s="4"/>
      <c r="I122" s="4"/>
      <c r="J122" s="4"/>
      <c r="K122" s="4"/>
      <c r="L122" s="4"/>
      <c r="M122" s="4"/>
      <c r="N122" s="4"/>
      <c r="O122" s="4"/>
      <c r="P122" s="4"/>
      <c r="Q122" s="4"/>
      <c r="R122" s="4"/>
      <c r="S122" s="4"/>
      <c r="T122" s="4"/>
      <c r="U122" s="4"/>
      <c r="V122" s="4"/>
      <c r="W122" s="4"/>
      <c r="X122" s="4"/>
      <c r="Y122" s="4"/>
      <c r="Z122" s="4"/>
    </row>
    <row r="123" spans="1:26" ht="13.2">
      <c r="A123" s="169"/>
      <c r="B123" s="169"/>
      <c r="C123" s="169"/>
      <c r="D123" s="169"/>
      <c r="E123" s="174"/>
      <c r="F123" s="4"/>
      <c r="G123" s="4"/>
      <c r="H123" s="4"/>
      <c r="I123" s="4"/>
      <c r="J123" s="4"/>
      <c r="K123" s="4"/>
      <c r="L123" s="4"/>
      <c r="M123" s="4"/>
      <c r="N123" s="4"/>
      <c r="O123" s="4"/>
      <c r="P123" s="4"/>
      <c r="Q123" s="4"/>
      <c r="R123" s="4"/>
      <c r="S123" s="4"/>
      <c r="T123" s="4"/>
      <c r="U123" s="4"/>
      <c r="V123" s="4"/>
      <c r="W123" s="4"/>
      <c r="X123" s="4"/>
      <c r="Y123" s="4"/>
      <c r="Z123" s="4"/>
    </row>
    <row r="124" spans="1:26" ht="13.2">
      <c r="A124" s="10" t="s">
        <v>863</v>
      </c>
      <c r="B124" s="4"/>
      <c r="C124" s="4"/>
      <c r="D124" s="4"/>
      <c r="E124" s="174"/>
      <c r="F124" s="4"/>
      <c r="G124" s="4"/>
      <c r="H124" s="4"/>
      <c r="I124" s="4"/>
      <c r="J124" s="4"/>
      <c r="K124" s="4"/>
      <c r="L124" s="4"/>
      <c r="M124" s="4"/>
      <c r="N124" s="4"/>
      <c r="O124" s="4"/>
      <c r="P124" s="4"/>
      <c r="Q124" s="4"/>
      <c r="R124" s="4"/>
      <c r="S124" s="4"/>
      <c r="T124" s="4"/>
      <c r="U124" s="4"/>
      <c r="V124" s="4"/>
      <c r="W124" s="4"/>
      <c r="X124" s="4"/>
      <c r="Y124" s="4"/>
      <c r="Z124" s="4"/>
    </row>
    <row r="125" spans="1:26" ht="13.2">
      <c r="A125" s="10" t="s">
        <v>864</v>
      </c>
      <c r="B125" s="4"/>
      <c r="C125" s="171"/>
      <c r="D125" s="171"/>
      <c r="E125" s="174"/>
      <c r="F125" s="4"/>
      <c r="G125" s="4"/>
      <c r="H125" s="4"/>
      <c r="I125" s="4"/>
      <c r="J125" s="4"/>
      <c r="K125" s="4"/>
      <c r="L125" s="4"/>
      <c r="M125" s="4"/>
      <c r="N125" s="4"/>
      <c r="O125" s="4"/>
      <c r="P125" s="4"/>
      <c r="Q125" s="4"/>
      <c r="R125" s="4"/>
      <c r="S125" s="4"/>
      <c r="T125" s="4"/>
      <c r="U125" s="4"/>
      <c r="V125" s="4"/>
      <c r="W125" s="4"/>
      <c r="X125" s="4"/>
      <c r="Y125" s="4"/>
      <c r="Z125" s="4"/>
    </row>
    <row r="126" spans="1:26" ht="13.2">
      <c r="A126" s="7" t="s">
        <v>865</v>
      </c>
      <c r="B126" s="59"/>
      <c r="C126" s="4"/>
      <c r="D126" s="4"/>
      <c r="E126" s="174"/>
      <c r="F126" s="4"/>
      <c r="G126" s="4"/>
      <c r="H126" s="4"/>
      <c r="I126" s="4"/>
      <c r="J126" s="4"/>
      <c r="K126" s="4"/>
      <c r="L126" s="4"/>
      <c r="M126" s="4"/>
      <c r="N126" s="4"/>
      <c r="O126" s="4"/>
      <c r="P126" s="4"/>
      <c r="Q126" s="4"/>
      <c r="R126" s="4"/>
      <c r="S126" s="4"/>
      <c r="T126" s="4"/>
      <c r="U126" s="4"/>
      <c r="V126" s="4"/>
      <c r="W126" s="4"/>
      <c r="X126" s="4"/>
      <c r="Y126" s="4"/>
      <c r="Z126" s="4"/>
    </row>
    <row r="127" spans="1:26" ht="13.2">
      <c r="A127" s="144" t="s">
        <v>44</v>
      </c>
      <c r="B127" s="144" t="s">
        <v>46</v>
      </c>
      <c r="C127" s="144" t="s">
        <v>47</v>
      </c>
      <c r="D127" s="144" t="s">
        <v>48</v>
      </c>
      <c r="E127" s="175" t="s">
        <v>9</v>
      </c>
      <c r="F127" s="144" t="s">
        <v>52</v>
      </c>
      <c r="G127" s="4"/>
      <c r="H127" s="4"/>
      <c r="I127" s="4"/>
      <c r="J127" s="4"/>
      <c r="K127" s="4"/>
      <c r="L127" s="4"/>
      <c r="M127" s="4"/>
      <c r="N127" s="4"/>
      <c r="O127" s="4"/>
      <c r="P127" s="4"/>
      <c r="Q127" s="4"/>
      <c r="R127" s="4"/>
      <c r="S127" s="4"/>
      <c r="T127" s="4"/>
      <c r="U127" s="4"/>
      <c r="V127" s="4"/>
      <c r="W127" s="4"/>
      <c r="X127" s="4"/>
      <c r="Y127" s="4"/>
      <c r="Z127" s="4"/>
    </row>
    <row r="128" spans="1:26" ht="13.2">
      <c r="A128" s="176">
        <v>1</v>
      </c>
      <c r="B128" s="177" t="s">
        <v>856</v>
      </c>
      <c r="C128" s="178" t="s">
        <v>381</v>
      </c>
      <c r="D128" s="178" t="s">
        <v>381</v>
      </c>
      <c r="E128" s="179">
        <v>30000</v>
      </c>
      <c r="F128" s="178"/>
      <c r="G128" s="4"/>
      <c r="H128" s="4"/>
      <c r="I128" s="4"/>
      <c r="J128" s="4"/>
      <c r="K128" s="4"/>
      <c r="L128" s="4"/>
      <c r="M128" s="4"/>
      <c r="N128" s="4"/>
      <c r="O128" s="4"/>
      <c r="P128" s="4"/>
      <c r="Q128" s="4"/>
      <c r="R128" s="4"/>
      <c r="S128" s="4"/>
      <c r="T128" s="4"/>
      <c r="U128" s="4"/>
      <c r="V128" s="4"/>
      <c r="W128" s="4"/>
      <c r="X128" s="4"/>
      <c r="Y128" s="4"/>
      <c r="Z128" s="4"/>
    </row>
    <row r="129" spans="1:26" ht="13.2">
      <c r="A129" s="162">
        <v>2</v>
      </c>
      <c r="B129" s="85" t="s">
        <v>866</v>
      </c>
      <c r="C129" s="165" t="s">
        <v>381</v>
      </c>
      <c r="D129" s="165" t="s">
        <v>381</v>
      </c>
      <c r="E129" s="180">
        <v>15000</v>
      </c>
      <c r="F129" s="181" t="s">
        <v>139</v>
      </c>
      <c r="G129" s="4"/>
      <c r="H129" s="4"/>
      <c r="I129" s="4"/>
      <c r="J129" s="4"/>
      <c r="K129" s="4"/>
      <c r="L129" s="4"/>
      <c r="M129" s="4"/>
      <c r="N129" s="4"/>
      <c r="O129" s="4"/>
      <c r="P129" s="4"/>
      <c r="Q129" s="4"/>
      <c r="R129" s="4"/>
      <c r="S129" s="4"/>
      <c r="T129" s="4"/>
      <c r="U129" s="4"/>
      <c r="V129" s="4"/>
      <c r="W129" s="4"/>
      <c r="X129" s="4"/>
      <c r="Y129" s="4"/>
      <c r="Z129" s="4"/>
    </row>
    <row r="130" spans="1:26" ht="13.2">
      <c r="A130" s="237" t="s">
        <v>5</v>
      </c>
      <c r="B130" s="238"/>
      <c r="C130" s="238"/>
      <c r="D130" s="239"/>
      <c r="E130" s="182">
        <f>SUM(E128:E129)</f>
        <v>45000</v>
      </c>
      <c r="F130" s="165"/>
      <c r="G130" s="4"/>
      <c r="H130" s="4"/>
      <c r="I130" s="4"/>
      <c r="J130" s="4"/>
      <c r="K130" s="4"/>
      <c r="L130" s="4"/>
      <c r="M130" s="4"/>
      <c r="N130" s="4"/>
      <c r="O130" s="4"/>
      <c r="P130" s="4"/>
      <c r="Q130" s="4"/>
      <c r="R130" s="4"/>
      <c r="S130" s="4"/>
      <c r="T130" s="4"/>
      <c r="U130" s="4"/>
      <c r="V130" s="4"/>
      <c r="W130" s="4"/>
      <c r="X130" s="4"/>
      <c r="Y130" s="4"/>
      <c r="Z130" s="4"/>
    </row>
    <row r="131" spans="1:26" ht="13.2">
      <c r="A131" s="169"/>
      <c r="B131" s="169"/>
      <c r="C131" s="169"/>
      <c r="D131" s="169"/>
      <c r="E131" s="174"/>
      <c r="F131" s="4"/>
      <c r="G131" s="4"/>
      <c r="H131" s="4"/>
      <c r="I131" s="4"/>
      <c r="J131" s="4"/>
      <c r="K131" s="4"/>
      <c r="L131" s="4"/>
      <c r="M131" s="4"/>
      <c r="N131" s="4"/>
      <c r="O131" s="4"/>
      <c r="P131" s="4"/>
      <c r="Q131" s="4"/>
      <c r="R131" s="4"/>
      <c r="S131" s="4"/>
      <c r="T131" s="4"/>
      <c r="U131" s="4"/>
      <c r="V131" s="4"/>
      <c r="W131" s="4"/>
      <c r="X131" s="4"/>
      <c r="Y131" s="4"/>
      <c r="Z131" s="4"/>
    </row>
    <row r="132" spans="1:26" ht="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3.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3.2">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3.2">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3.2">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3.2">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3.2">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3.2">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3.2">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3.2">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3.2">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3.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spans="1:26" ht="13.2">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spans="1:26" ht="13.2">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spans="1:26" ht="13.2">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spans="1:26" ht="13.2">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spans="1:26" ht="13.2">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spans="1:26" ht="13.2">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spans="1:26" ht="13.2">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spans="1:26" ht="13.2">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spans="1:26" ht="13.2">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spans="1:26" ht="13.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spans="1:26" ht="13.2">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spans="1:26" ht="13.2">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spans="1:26" ht="13.2">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spans="1:26" ht="13.2">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spans="1:26" ht="13.2">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spans="1:26" ht="13.2">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spans="1:26" ht="13.2">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spans="1:26" ht="13.2">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spans="1:26" ht="13.2">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spans="1:26" ht="1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spans="1:26" ht="13.2">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spans="1:26" ht="13.2">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spans="1:26" ht="13.2">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spans="1:26" ht="13.2">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spans="1:26" ht="13.2">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spans="1:26" ht="13.2">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spans="1:26" ht="13.2">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spans="1:26" ht="13.2">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spans="1:26" ht="13.2">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spans="1:26" ht="13.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spans="1:26" ht="13.2">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spans="1:26" ht="13.2">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spans="1:26" ht="13.2">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row>
    <row r="1046" spans="1:26" ht="13.2">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row>
    <row r="1047" spans="1:26" ht="13.2">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row>
    <row r="1048" spans="1:26" ht="13.2">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row>
    <row r="1049" spans="1:26" ht="13.2">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row>
    <row r="1050" spans="1:26" ht="13.2">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row>
    <row r="1051" spans="1:26" ht="13.2">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row>
    <row r="1052" spans="1:26" ht="13.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row>
    <row r="1053" spans="1:26" ht="13.2">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row>
    <row r="1054" spans="1:26" ht="13.2">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row>
    <row r="1055" spans="1:26" ht="13.2">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row>
    <row r="1056" spans="1:26" ht="13.2">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row>
    <row r="1057" spans="1:26" ht="13.2">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row>
    <row r="1058" spans="1:26" ht="13.2">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row>
    <row r="1059" spans="1:26" ht="13.2">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row>
    <row r="1060" spans="1:26" ht="13.2">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row>
    <row r="1061" spans="1:26" ht="13.2">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row>
    <row r="1062" spans="1:26" ht="13.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row>
    <row r="1063" spans="1:26" ht="13.2">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row>
    <row r="1064" spans="1:26" ht="13.2">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row>
    <row r="1065" spans="1:26" ht="13.2">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row>
    <row r="1066" spans="1:26" ht="13.2">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row>
    <row r="1067" spans="1:26" ht="13.2">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row>
    <row r="1068" spans="1:26" ht="13.2">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row>
    <row r="1069" spans="1:26" ht="13.2">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row>
    <row r="1070" spans="1:26" ht="13.2">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row>
    <row r="1071" spans="1:26" ht="13.2">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row>
    <row r="1072" spans="1:26" ht="13.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row>
    <row r="1073" spans="1:26" ht="13.2">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row>
    <row r="1074" spans="1:26" ht="13.2">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row>
    <row r="1075" spans="1:26" ht="13.2">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row>
    <row r="1076" spans="1:26" ht="13.2">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row>
    <row r="1077" spans="1:26" ht="13.2">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row>
    <row r="1078" spans="1:26" ht="13.2">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row>
    <row r="1079" spans="1:26" ht="13.2">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row>
    <row r="1080" spans="1:26" ht="13.2">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row>
    <row r="1081" spans="1:26" ht="13.2">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row>
    <row r="1082" spans="1:26" ht="13.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row>
    <row r="1083" spans="1:26" ht="13.2">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row>
    <row r="1084" spans="1:26" ht="13.2">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row>
    <row r="1085" spans="1:26" ht="13.2">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row>
    <row r="1086" spans="1:26" ht="13.2">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row>
    <row r="1087" spans="1:26" ht="13.2">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row>
  </sheetData>
  <mergeCells count="8">
    <mergeCell ref="A29:F29"/>
    <mergeCell ref="A41:D41"/>
    <mergeCell ref="A44:F44"/>
    <mergeCell ref="H49:J52"/>
    <mergeCell ref="A103:D103"/>
    <mergeCell ref="A107:F107"/>
    <mergeCell ref="A113:D113"/>
    <mergeCell ref="A130:D130"/>
  </mergeCells>
  <hyperlinks>
    <hyperlink ref="F31" r:id="rId1" xr:uid="{00000000-0004-0000-0900-000000000000}"/>
    <hyperlink ref="F32" r:id="rId2" xr:uid="{00000000-0004-0000-0900-000001000000}"/>
    <hyperlink ref="F33" r:id="rId3" xr:uid="{00000000-0004-0000-0900-000002000000}"/>
    <hyperlink ref="F34" r:id="rId4" xr:uid="{00000000-0004-0000-0900-000003000000}"/>
    <hyperlink ref="F35" r:id="rId5" xr:uid="{00000000-0004-0000-0900-000004000000}"/>
    <hyperlink ref="F36" r:id="rId6" xr:uid="{00000000-0004-0000-0900-000005000000}"/>
    <hyperlink ref="F37" r:id="rId7" xr:uid="{00000000-0004-0000-0900-000006000000}"/>
    <hyperlink ref="F38" r:id="rId8" xr:uid="{00000000-0004-0000-0900-000007000000}"/>
    <hyperlink ref="F39" r:id="rId9" xr:uid="{00000000-0004-0000-0900-000008000000}"/>
    <hyperlink ref="F40" r:id="rId10" xr:uid="{00000000-0004-0000-0900-000009000000}"/>
    <hyperlink ref="F46" r:id="rId11" xr:uid="{00000000-0004-0000-0900-00000A000000}"/>
    <hyperlink ref="F47" r:id="rId12" xr:uid="{00000000-0004-0000-0900-00000B000000}"/>
    <hyperlink ref="F48" r:id="rId13" xr:uid="{00000000-0004-0000-0900-00000C000000}"/>
    <hyperlink ref="F49" r:id="rId14" xr:uid="{00000000-0004-0000-0900-00000D000000}"/>
    <hyperlink ref="F50" r:id="rId15" xr:uid="{00000000-0004-0000-0900-00000E000000}"/>
    <hyperlink ref="F51" r:id="rId16" xr:uid="{00000000-0004-0000-0900-00000F000000}"/>
    <hyperlink ref="F52" r:id="rId17" xr:uid="{00000000-0004-0000-0900-000010000000}"/>
    <hyperlink ref="F53" r:id="rId18" xr:uid="{00000000-0004-0000-0900-000011000000}"/>
    <hyperlink ref="F54" r:id="rId19" xr:uid="{00000000-0004-0000-0900-000012000000}"/>
    <hyperlink ref="F55" r:id="rId20" xr:uid="{00000000-0004-0000-0900-000013000000}"/>
    <hyperlink ref="F56" r:id="rId21" xr:uid="{00000000-0004-0000-0900-000014000000}"/>
    <hyperlink ref="F57" r:id="rId22" xr:uid="{00000000-0004-0000-0900-000015000000}"/>
    <hyperlink ref="F58" r:id="rId23" xr:uid="{00000000-0004-0000-0900-000016000000}"/>
    <hyperlink ref="F59" r:id="rId24" xr:uid="{00000000-0004-0000-0900-000017000000}"/>
    <hyperlink ref="F60" r:id="rId25" xr:uid="{00000000-0004-0000-0900-000018000000}"/>
    <hyperlink ref="F61" r:id="rId26" xr:uid="{00000000-0004-0000-0900-000019000000}"/>
    <hyperlink ref="F62" r:id="rId27" xr:uid="{00000000-0004-0000-0900-00001A000000}"/>
    <hyperlink ref="F63" r:id="rId28" xr:uid="{00000000-0004-0000-0900-00001B000000}"/>
    <hyperlink ref="F64" r:id="rId29" xr:uid="{00000000-0004-0000-0900-00001C000000}"/>
    <hyperlink ref="F65" r:id="rId30" xr:uid="{00000000-0004-0000-0900-00001D000000}"/>
    <hyperlink ref="F66" r:id="rId31" xr:uid="{00000000-0004-0000-0900-00001E000000}"/>
    <hyperlink ref="F67" r:id="rId32" xr:uid="{00000000-0004-0000-0900-00001F000000}"/>
    <hyperlink ref="F68" r:id="rId33" xr:uid="{00000000-0004-0000-0900-000020000000}"/>
    <hyperlink ref="F69" r:id="rId34" xr:uid="{00000000-0004-0000-0900-000021000000}"/>
    <hyperlink ref="F70" r:id="rId35" xr:uid="{00000000-0004-0000-0900-000022000000}"/>
    <hyperlink ref="F71" r:id="rId36" xr:uid="{00000000-0004-0000-0900-000023000000}"/>
    <hyperlink ref="F72" r:id="rId37" xr:uid="{00000000-0004-0000-0900-000024000000}"/>
    <hyperlink ref="F73" r:id="rId38" location="reviews" xr:uid="{00000000-0004-0000-0900-000025000000}"/>
    <hyperlink ref="F74" r:id="rId39" xr:uid="{00000000-0004-0000-0900-000026000000}"/>
    <hyperlink ref="F75" r:id="rId40" xr:uid="{00000000-0004-0000-0900-000027000000}"/>
    <hyperlink ref="F76" r:id="rId41" xr:uid="{00000000-0004-0000-0900-000028000000}"/>
    <hyperlink ref="F77" r:id="rId42" xr:uid="{00000000-0004-0000-0900-000029000000}"/>
    <hyperlink ref="F78" r:id="rId43" xr:uid="{00000000-0004-0000-0900-00002A000000}"/>
    <hyperlink ref="F79" r:id="rId44" xr:uid="{00000000-0004-0000-0900-00002B000000}"/>
    <hyperlink ref="F80" r:id="rId45" xr:uid="{00000000-0004-0000-0900-00002C000000}"/>
    <hyperlink ref="F81" r:id="rId46" xr:uid="{00000000-0004-0000-0900-00002D000000}"/>
    <hyperlink ref="F82" r:id="rId47" xr:uid="{00000000-0004-0000-0900-00002E000000}"/>
    <hyperlink ref="F83" r:id="rId48" xr:uid="{00000000-0004-0000-0900-00002F000000}"/>
    <hyperlink ref="F84" r:id="rId49" xr:uid="{00000000-0004-0000-0900-000030000000}"/>
    <hyperlink ref="F85" r:id="rId50" xr:uid="{00000000-0004-0000-0900-000031000000}"/>
    <hyperlink ref="F86" r:id="rId51" xr:uid="{00000000-0004-0000-0900-000032000000}"/>
    <hyperlink ref="F87" r:id="rId52" xr:uid="{00000000-0004-0000-0900-000033000000}"/>
    <hyperlink ref="F88" r:id="rId53" xr:uid="{00000000-0004-0000-0900-000034000000}"/>
    <hyperlink ref="F89" r:id="rId54" xr:uid="{00000000-0004-0000-0900-000035000000}"/>
    <hyperlink ref="F90" r:id="rId55" xr:uid="{00000000-0004-0000-0900-000036000000}"/>
    <hyperlink ref="F91" r:id="rId56" xr:uid="{00000000-0004-0000-0900-000037000000}"/>
    <hyperlink ref="F92" r:id="rId57" xr:uid="{00000000-0004-0000-0900-000038000000}"/>
    <hyperlink ref="F93" r:id="rId58" xr:uid="{00000000-0004-0000-0900-000039000000}"/>
    <hyperlink ref="F94" r:id="rId59" xr:uid="{00000000-0004-0000-0900-00003A000000}"/>
    <hyperlink ref="F95" r:id="rId60" xr:uid="{00000000-0004-0000-0900-00003B000000}"/>
    <hyperlink ref="F96" r:id="rId61" xr:uid="{00000000-0004-0000-0900-00003C000000}"/>
    <hyperlink ref="F97" r:id="rId62" xr:uid="{00000000-0004-0000-0900-00003D000000}"/>
    <hyperlink ref="F98" r:id="rId63" xr:uid="{00000000-0004-0000-0900-00003E000000}"/>
    <hyperlink ref="F99" r:id="rId64" xr:uid="{00000000-0004-0000-0900-00003F000000}"/>
    <hyperlink ref="F100" r:id="rId65" xr:uid="{00000000-0004-0000-0900-000040000000}"/>
    <hyperlink ref="F101" r:id="rId66" xr:uid="{00000000-0004-0000-0900-00004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21"/>
  <sheetViews>
    <sheetView workbookViewId="0"/>
  </sheetViews>
  <sheetFormatPr defaultColWidth="12.6640625" defaultRowHeight="15.75" customHeight="1"/>
  <cols>
    <col min="1" max="1" width="7.6640625" customWidth="1"/>
    <col min="2" max="2" width="21" customWidth="1"/>
    <col min="3" max="3" width="38" customWidth="1"/>
  </cols>
  <sheetData>
    <row r="1" spans="1:8">
      <c r="A1" s="183" t="s">
        <v>867</v>
      </c>
      <c r="B1" s="183" t="s">
        <v>868</v>
      </c>
      <c r="C1" s="183" t="s">
        <v>344</v>
      </c>
      <c r="D1" s="183" t="s">
        <v>869</v>
      </c>
      <c r="E1" s="183" t="s">
        <v>870</v>
      </c>
      <c r="F1" s="183" t="s">
        <v>9</v>
      </c>
    </row>
    <row r="2" spans="1:8">
      <c r="A2" s="15">
        <v>1</v>
      </c>
      <c r="B2" s="184" t="s">
        <v>871</v>
      </c>
      <c r="C2" s="15" t="s">
        <v>872</v>
      </c>
      <c r="D2" s="15">
        <v>6</v>
      </c>
      <c r="E2" s="15">
        <v>9</v>
      </c>
      <c r="F2" s="185">
        <f t="shared" ref="F2:F6" si="0">(E2+D2)*400+2100</f>
        <v>8100</v>
      </c>
    </row>
    <row r="3" spans="1:8">
      <c r="A3" s="15">
        <v>2</v>
      </c>
      <c r="B3" s="184" t="s">
        <v>871</v>
      </c>
      <c r="C3" s="15" t="s">
        <v>873</v>
      </c>
      <c r="D3" s="15">
        <v>3</v>
      </c>
      <c r="E3" s="15">
        <v>8</v>
      </c>
      <c r="F3" s="185">
        <f t="shared" si="0"/>
        <v>6500</v>
      </c>
    </row>
    <row r="4" spans="1:8">
      <c r="A4" s="15">
        <v>3</v>
      </c>
      <c r="B4" s="184" t="s">
        <v>871</v>
      </c>
      <c r="C4" s="15" t="s">
        <v>874</v>
      </c>
      <c r="D4" s="15">
        <v>2</v>
      </c>
      <c r="E4" s="15">
        <v>6</v>
      </c>
      <c r="F4" s="185">
        <f t="shared" si="0"/>
        <v>5300</v>
      </c>
    </row>
    <row r="5" spans="1:8">
      <c r="A5" s="15">
        <v>4</v>
      </c>
      <c r="B5" s="184" t="s">
        <v>871</v>
      </c>
      <c r="C5" s="15" t="s">
        <v>875</v>
      </c>
      <c r="D5" s="15">
        <v>5</v>
      </c>
      <c r="E5" s="15">
        <v>12</v>
      </c>
      <c r="F5" s="185">
        <f t="shared" si="0"/>
        <v>8900</v>
      </c>
    </row>
    <row r="6" spans="1:8">
      <c r="A6" s="15">
        <v>5</v>
      </c>
      <c r="B6" s="184" t="s">
        <v>871</v>
      </c>
      <c r="C6" s="15" t="s">
        <v>878</v>
      </c>
      <c r="D6" s="15">
        <v>3</v>
      </c>
      <c r="E6" s="15">
        <v>12</v>
      </c>
      <c r="F6" s="185">
        <f t="shared" si="0"/>
        <v>8100</v>
      </c>
      <c r="H6" s="189">
        <f>SUM(D2:D19)</f>
        <v>47</v>
      </c>
    </row>
    <row r="7" spans="1:8">
      <c r="A7" s="15">
        <v>6</v>
      </c>
      <c r="B7" s="184" t="s">
        <v>880</v>
      </c>
      <c r="C7" s="190" t="s">
        <v>881</v>
      </c>
      <c r="D7" s="15">
        <v>1</v>
      </c>
      <c r="E7" s="15">
        <v>8</v>
      </c>
      <c r="F7" s="15">
        <v>3600</v>
      </c>
      <c r="H7" s="189">
        <f>SUM(E2:E19)</f>
        <v>122</v>
      </c>
    </row>
    <row r="8" spans="1:8">
      <c r="A8" s="15">
        <v>7</v>
      </c>
      <c r="B8" s="184" t="s">
        <v>880</v>
      </c>
      <c r="C8" s="190" t="s">
        <v>883</v>
      </c>
      <c r="D8" s="15">
        <v>1</v>
      </c>
      <c r="E8" s="15">
        <v>8</v>
      </c>
      <c r="F8" s="15">
        <v>3600</v>
      </c>
    </row>
    <row r="9" spans="1:8">
      <c r="A9" s="15">
        <v>8</v>
      </c>
      <c r="B9" s="184" t="s">
        <v>880</v>
      </c>
      <c r="C9" s="190" t="s">
        <v>884</v>
      </c>
      <c r="D9" s="15">
        <v>1</v>
      </c>
      <c r="E9" s="15">
        <v>8</v>
      </c>
      <c r="F9" s="15">
        <v>3600</v>
      </c>
    </row>
    <row r="10" spans="1:8">
      <c r="A10" s="15">
        <v>9</v>
      </c>
      <c r="B10" s="184" t="s">
        <v>880</v>
      </c>
      <c r="C10" s="190" t="s">
        <v>885</v>
      </c>
      <c r="D10" s="15">
        <v>1</v>
      </c>
      <c r="E10" s="15">
        <v>6</v>
      </c>
      <c r="F10" s="15">
        <v>2800</v>
      </c>
    </row>
    <row r="11" spans="1:8">
      <c r="A11" s="15">
        <v>10</v>
      </c>
      <c r="B11" s="184" t="s">
        <v>871</v>
      </c>
      <c r="C11" s="15" t="s">
        <v>887</v>
      </c>
      <c r="D11" s="15">
        <v>1</v>
      </c>
      <c r="E11" s="15">
        <v>3</v>
      </c>
      <c r="F11" s="185">
        <f t="shared" ref="F11:F19" si="1">(E11+D11)*400+2100</f>
        <v>3700</v>
      </c>
    </row>
    <row r="12" spans="1:8">
      <c r="A12" s="15">
        <v>11</v>
      </c>
      <c r="B12" s="184" t="s">
        <v>871</v>
      </c>
      <c r="C12" s="15" t="s">
        <v>889</v>
      </c>
      <c r="D12" s="15">
        <v>1</v>
      </c>
      <c r="E12" s="15">
        <v>3</v>
      </c>
      <c r="F12" s="185">
        <f t="shared" si="1"/>
        <v>3700</v>
      </c>
    </row>
    <row r="13" spans="1:8">
      <c r="A13" s="15">
        <v>12</v>
      </c>
      <c r="B13" s="184" t="s">
        <v>871</v>
      </c>
      <c r="C13" s="15" t="s">
        <v>890</v>
      </c>
      <c r="D13" s="15">
        <v>4</v>
      </c>
      <c r="E13" s="15">
        <v>12</v>
      </c>
      <c r="F13" s="185">
        <f t="shared" si="1"/>
        <v>8500</v>
      </c>
    </row>
    <row r="14" spans="1:8">
      <c r="A14" s="15">
        <v>13</v>
      </c>
      <c r="B14" s="191" t="s">
        <v>871</v>
      </c>
      <c r="C14" s="15" t="s">
        <v>893</v>
      </c>
      <c r="D14" s="15">
        <v>2</v>
      </c>
      <c r="E14" s="15">
        <v>6</v>
      </c>
      <c r="F14" s="185">
        <f t="shared" si="1"/>
        <v>5300</v>
      </c>
    </row>
    <row r="15" spans="1:8">
      <c r="A15" s="15">
        <v>14</v>
      </c>
      <c r="B15" s="184" t="s">
        <v>871</v>
      </c>
      <c r="C15" s="192" t="s">
        <v>894</v>
      </c>
      <c r="D15" s="191">
        <v>2</v>
      </c>
      <c r="E15" s="191">
        <v>3</v>
      </c>
      <c r="F15" s="185">
        <f t="shared" si="1"/>
        <v>4100</v>
      </c>
    </row>
    <row r="16" spans="1:8">
      <c r="A16" s="15">
        <v>15</v>
      </c>
      <c r="B16" s="191" t="s">
        <v>871</v>
      </c>
      <c r="C16" s="194" t="s">
        <v>895</v>
      </c>
      <c r="D16" s="15">
        <v>3</v>
      </c>
      <c r="E16" s="15">
        <v>5</v>
      </c>
      <c r="F16" s="185">
        <f t="shared" si="1"/>
        <v>5300</v>
      </c>
    </row>
    <row r="17" spans="1:6">
      <c r="A17" s="15">
        <v>16</v>
      </c>
      <c r="B17" s="191" t="s">
        <v>871</v>
      </c>
      <c r="C17" s="15" t="s">
        <v>896</v>
      </c>
      <c r="D17" s="15">
        <v>4</v>
      </c>
      <c r="E17" s="15">
        <v>5</v>
      </c>
      <c r="F17" s="185">
        <f t="shared" si="1"/>
        <v>5700</v>
      </c>
    </row>
    <row r="18" spans="1:6">
      <c r="A18" s="15">
        <v>17</v>
      </c>
      <c r="B18" s="191" t="s">
        <v>871</v>
      </c>
      <c r="C18" s="15" t="s">
        <v>897</v>
      </c>
      <c r="D18" s="15">
        <v>2</v>
      </c>
      <c r="E18" s="15">
        <v>5</v>
      </c>
      <c r="F18" s="185">
        <f t="shared" si="1"/>
        <v>4900</v>
      </c>
    </row>
    <row r="19" spans="1:6">
      <c r="A19" s="15">
        <v>18</v>
      </c>
      <c r="B19" s="184" t="s">
        <v>871</v>
      </c>
      <c r="C19" s="15" t="s">
        <v>898</v>
      </c>
      <c r="D19" s="15">
        <v>5</v>
      </c>
      <c r="E19" s="15">
        <v>3</v>
      </c>
      <c r="F19" s="185">
        <f t="shared" si="1"/>
        <v>5300</v>
      </c>
    </row>
    <row r="20" spans="1:6">
      <c r="A20" s="195">
        <v>19</v>
      </c>
      <c r="B20" s="241" t="s">
        <v>901</v>
      </c>
      <c r="C20" s="226"/>
      <c r="D20" s="226"/>
      <c r="E20" s="227"/>
      <c r="F20" s="197">
        <v>3000</v>
      </c>
    </row>
    <row r="21" spans="1:6">
      <c r="A21" s="242" t="s">
        <v>5</v>
      </c>
      <c r="B21" s="226"/>
      <c r="C21" s="226"/>
      <c r="D21" s="226"/>
      <c r="E21" s="227"/>
      <c r="F21" s="185">
        <f>SUM(F2:F20)</f>
        <v>100000</v>
      </c>
    </row>
  </sheetData>
  <mergeCells count="2">
    <mergeCell ref="B20:E20"/>
    <mergeCell ref="A21:E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D11"/>
  <sheetViews>
    <sheetView workbookViewId="0"/>
  </sheetViews>
  <sheetFormatPr defaultColWidth="12.6640625" defaultRowHeight="15.75" customHeight="1"/>
  <cols>
    <col min="1" max="1" width="16.77734375" customWidth="1"/>
  </cols>
  <sheetData>
    <row r="1" spans="1:4">
      <c r="A1" s="186" t="s">
        <v>13</v>
      </c>
      <c r="B1" s="186" t="s">
        <v>876</v>
      </c>
      <c r="C1" s="186" t="s">
        <v>877</v>
      </c>
      <c r="D1" s="186" t="s">
        <v>5</v>
      </c>
    </row>
    <row r="2" spans="1:4">
      <c r="A2" s="187" t="s">
        <v>879</v>
      </c>
      <c r="B2" s="188">
        <v>95</v>
      </c>
      <c r="C2" s="188">
        <v>10000</v>
      </c>
      <c r="D2" s="188">
        <f t="shared" ref="D2:D6" si="0">B2*C2</f>
        <v>950000</v>
      </c>
    </row>
    <row r="3" spans="1:4">
      <c r="A3" s="187" t="s">
        <v>882</v>
      </c>
      <c r="B3" s="188">
        <v>95</v>
      </c>
      <c r="C3" s="188">
        <f>500*6</f>
        <v>3000</v>
      </c>
      <c r="D3" s="188">
        <f t="shared" si="0"/>
        <v>285000</v>
      </c>
    </row>
    <row r="4" spans="1:4">
      <c r="A4" s="187" t="s">
        <v>886</v>
      </c>
      <c r="B4" s="188">
        <v>95</v>
      </c>
      <c r="C4" s="188">
        <f>2500*1.18</f>
        <v>2950</v>
      </c>
      <c r="D4" s="188">
        <f t="shared" si="0"/>
        <v>280250</v>
      </c>
    </row>
    <row r="5" spans="1:4">
      <c r="A5" s="187" t="s">
        <v>888</v>
      </c>
      <c r="B5" s="188">
        <v>95</v>
      </c>
      <c r="C5" s="188">
        <f>1000*1.18</f>
        <v>1180</v>
      </c>
      <c r="D5" s="188">
        <f t="shared" si="0"/>
        <v>112100</v>
      </c>
    </row>
    <row r="6" spans="1:4">
      <c r="A6" s="187" t="s">
        <v>891</v>
      </c>
      <c r="B6" s="188">
        <v>95</v>
      </c>
      <c r="C6" s="188">
        <v>1500</v>
      </c>
      <c r="D6" s="188">
        <f t="shared" si="0"/>
        <v>142500</v>
      </c>
    </row>
    <row r="7" spans="1:4">
      <c r="A7" s="243" t="s">
        <v>892</v>
      </c>
      <c r="B7" s="193" t="s">
        <v>381</v>
      </c>
      <c r="C7" s="52"/>
      <c r="D7" s="246">
        <v>160000</v>
      </c>
    </row>
    <row r="8" spans="1:4">
      <c r="A8" s="244"/>
      <c r="B8" s="193" t="s">
        <v>381</v>
      </c>
      <c r="C8" s="52"/>
      <c r="D8" s="244"/>
    </row>
    <row r="9" spans="1:4">
      <c r="A9" s="245"/>
      <c r="B9" s="193" t="s">
        <v>381</v>
      </c>
      <c r="C9" s="52"/>
      <c r="D9" s="245"/>
    </row>
    <row r="10" spans="1:4">
      <c r="A10" s="187" t="s">
        <v>899</v>
      </c>
      <c r="B10" s="193" t="s">
        <v>381</v>
      </c>
      <c r="C10" s="52"/>
      <c r="D10" s="188">
        <v>50000</v>
      </c>
    </row>
    <row r="11" spans="1:4">
      <c r="A11" s="247" t="s">
        <v>900</v>
      </c>
      <c r="B11" s="226"/>
      <c r="C11" s="227"/>
      <c r="D11" s="196">
        <f>SUM(D2:D10)</f>
        <v>1979850</v>
      </c>
    </row>
  </sheetData>
  <mergeCells count="3">
    <mergeCell ref="A7:A9"/>
    <mergeCell ref="D7:D9"/>
    <mergeCell ref="A11:C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G61"/>
  <sheetViews>
    <sheetView tabSelected="1" workbookViewId="0">
      <selection activeCell="G20" sqref="G20"/>
    </sheetView>
  </sheetViews>
  <sheetFormatPr defaultColWidth="12.6640625" defaultRowHeight="15.75" customHeight="1"/>
  <cols>
    <col min="2" max="2" width="16" customWidth="1"/>
  </cols>
  <sheetData>
    <row r="1" spans="1:6" ht="13.2">
      <c r="A1" s="198" t="str">
        <f ca="1">IFERROR(__xludf.DUMMYFUNCTION("IMPORTRANGE(""https://docs.google.com/spreadsheets/d/1O2uayrrspmxXPrRYflfJX4UhsyHFzckYv06zH6GoXG4/edit?gid=401417689#gid=401417689"", ""Overall!A1:C12"")"),"Sr No")</f>
        <v>Sr No</v>
      </c>
      <c r="B1" s="52" t="str">
        <f ca="1">IFERROR(__xludf.DUMMYFUNCTION("""COMPUTED_VALUE"""),"Description")</f>
        <v>Description</v>
      </c>
      <c r="C1" s="200" t="str">
        <f ca="1">IFERROR(__xludf.DUMMYFUNCTION("""COMPUTED_VALUE"""),"Amount")</f>
        <v>Amount</v>
      </c>
      <c r="D1" s="201"/>
      <c r="E1" s="201"/>
      <c r="F1" s="201"/>
    </row>
    <row r="2" spans="1:6" ht="13.2">
      <c r="A2" s="52">
        <f ca="1">IFERROR(__xludf.DUMMYFUNCTION("""COMPUTED_VALUE"""),1)</f>
        <v>1</v>
      </c>
      <c r="B2" s="52" t="str">
        <f ca="1">IFERROR(__xludf.DUMMYFUNCTION("""COMPUTED_VALUE"""),"Technical Events")</f>
        <v>Technical Events</v>
      </c>
      <c r="C2" s="200">
        <f ca="1">IFERROR(__xludf.DUMMYFUNCTION("""COMPUTED_VALUE"""),450000)</f>
        <v>450000</v>
      </c>
      <c r="D2" s="201"/>
      <c r="E2" s="201"/>
      <c r="F2" s="201"/>
    </row>
    <row r="3" spans="1:6" ht="13.2">
      <c r="A3" s="52">
        <f ca="1">IFERROR(__xludf.DUMMYFUNCTION("""COMPUTED_VALUE"""),2)</f>
        <v>2</v>
      </c>
      <c r="B3" s="52" t="str">
        <f ca="1">IFERROR(__xludf.DUMMYFUNCTION("""COMPUTED_VALUE"""),"Decoration + Mascot")</f>
        <v>Decoration + Mascot</v>
      </c>
      <c r="C3" s="200">
        <f ca="1">IFERROR(__xludf.DUMMYFUNCTION("""COMPUTED_VALUE"""),265000)</f>
        <v>265000</v>
      </c>
      <c r="D3" s="201"/>
      <c r="E3" s="201"/>
      <c r="F3" s="201"/>
    </row>
    <row r="4" spans="1:6" ht="39.6">
      <c r="A4" s="202">
        <f ca="1">IFERROR(__xludf.DUMMYFUNCTION("""COMPUTED_VALUE"""),3)</f>
        <v>3</v>
      </c>
      <c r="B4" s="202" t="str">
        <f ca="1">IFERROR(__xludf.DUMMYFUNCTION("""COMPUTED_VALUE"""),"Marketing &amp; Outreach Activities")</f>
        <v>Marketing &amp; Outreach Activities</v>
      </c>
      <c r="C4" s="203">
        <f ca="1">IFERROR(__xludf.DUMMYFUNCTION("""COMPUTED_VALUE"""),107500)</f>
        <v>107500</v>
      </c>
      <c r="D4" s="204"/>
      <c r="E4" s="204"/>
      <c r="F4" s="204"/>
    </row>
    <row r="5" spans="1:6" ht="39.6">
      <c r="A5" s="52">
        <f ca="1">IFERROR(__xludf.DUMMYFUNCTION("""COMPUTED_VALUE"""),4)</f>
        <v>4</v>
      </c>
      <c r="B5" s="202" t="str">
        <f ca="1">IFERROR(__xludf.DUMMYFUNCTION("""COMPUTED_VALUE"""),"Organising-support team uniform")</f>
        <v>Organising-support team uniform</v>
      </c>
      <c r="C5" s="200">
        <f ca="1">IFERROR(__xludf.DUMMYFUNCTION("""COMPUTED_VALUE"""),140000)</f>
        <v>140000</v>
      </c>
      <c r="D5" s="201"/>
      <c r="E5" s="205"/>
      <c r="F5" s="201"/>
    </row>
    <row r="6" spans="1:6" ht="13.2">
      <c r="A6" s="52">
        <f ca="1">IFERROR(__xludf.DUMMYFUNCTION("""COMPUTED_VALUE"""),5)</f>
        <v>5</v>
      </c>
      <c r="B6" s="202" t="str">
        <f ca="1">IFERROR(__xludf.DUMMYFUNCTION("""COMPUTED_VALUE"""),"Subscriptions")</f>
        <v>Subscriptions</v>
      </c>
      <c r="C6" s="200">
        <f ca="1">IFERROR(__xludf.DUMMYFUNCTION("""COMPUTED_VALUE"""),46100)</f>
        <v>46100</v>
      </c>
      <c r="D6" s="201"/>
      <c r="E6" s="205"/>
      <c r="F6" s="204"/>
    </row>
    <row r="7" spans="1:6" ht="13.2">
      <c r="A7" s="52">
        <f ca="1">IFERROR(__xludf.DUMMYFUNCTION("""COMPUTED_VALUE"""),6)</f>
        <v>6</v>
      </c>
      <c r="B7" s="202" t="str">
        <f ca="1">IFERROR(__xludf.DUMMYFUNCTION("""COMPUTED_VALUE"""),"Prizes")</f>
        <v>Prizes</v>
      </c>
      <c r="C7" s="200">
        <f ca="1">IFERROR(__xludf.DUMMYFUNCTION("""COMPUTED_VALUE"""),250000)</f>
        <v>250000</v>
      </c>
      <c r="D7" s="201"/>
      <c r="E7" s="205"/>
      <c r="F7" s="201"/>
    </row>
    <row r="8" spans="1:6" ht="26.4">
      <c r="A8" s="52">
        <f ca="1">IFERROR(__xludf.DUMMYFUNCTION("""COMPUTED_VALUE"""),7)</f>
        <v>7</v>
      </c>
      <c r="B8" s="202" t="str">
        <f ca="1">IFERROR(__xludf.DUMMYFUNCTION("""COMPUTED_VALUE"""),"Judges &amp; Resource Person")</f>
        <v>Judges &amp; Resource Person</v>
      </c>
      <c r="C8" s="200">
        <f ca="1">IFERROR(__xludf.DUMMYFUNCTION("""COMPUTED_VALUE"""),420000)</f>
        <v>420000</v>
      </c>
      <c r="D8" s="201"/>
      <c r="E8" s="205"/>
      <c r="F8" s="201"/>
    </row>
    <row r="9" spans="1:6" ht="26.4">
      <c r="A9" s="52">
        <f ca="1">IFERROR(__xludf.DUMMYFUNCTION("""COMPUTED_VALUE"""),8)</f>
        <v>8</v>
      </c>
      <c r="B9" s="202" t="str">
        <f ca="1">IFERROR(__xludf.DUMMYFUNCTION("""COMPUTED_VALUE"""),"Stage &amp; Sound Setup")</f>
        <v>Stage &amp; Sound Setup</v>
      </c>
      <c r="C9" s="200">
        <f ca="1">IFERROR(__xludf.DUMMYFUNCTION("""COMPUTED_VALUE"""),650000)</f>
        <v>650000</v>
      </c>
      <c r="D9" s="201"/>
      <c r="E9" s="205"/>
      <c r="F9" s="201"/>
    </row>
    <row r="10" spans="1:6" ht="13.2">
      <c r="A10" s="52">
        <f ca="1">IFERROR(__xludf.DUMMYFUNCTION("""COMPUTED_VALUE"""),9)</f>
        <v>9</v>
      </c>
      <c r="B10" s="52" t="str">
        <f ca="1">IFERROR(__xludf.DUMMYFUNCTION("""COMPUTED_VALUE"""),"Networking Dinner")</f>
        <v>Networking Dinner</v>
      </c>
      <c r="C10" s="200">
        <f ca="1">IFERROR(__xludf.DUMMYFUNCTION("""COMPUTED_VALUE"""),280000)</f>
        <v>280000</v>
      </c>
      <c r="D10" s="206"/>
      <c r="E10" s="207"/>
      <c r="F10" s="201"/>
    </row>
    <row r="11" spans="1:6" ht="13.2">
      <c r="A11" s="71">
        <f ca="1">IFERROR(__xludf.DUMMYFUNCTION("""COMPUTED_VALUE"""),10)</f>
        <v>10</v>
      </c>
      <c r="B11" s="71" t="str">
        <f ca="1">IFERROR(__xludf.DUMMYFUNCTION("""COMPUTED_VALUE"""),"Miscellaneous")</f>
        <v>Miscellaneous</v>
      </c>
      <c r="C11" s="208">
        <f ca="1">IFERROR(__xludf.DUMMYFUNCTION("""COMPUTED_VALUE"""),130430)</f>
        <v>130430</v>
      </c>
    </row>
    <row r="12" spans="1:6" ht="13.2">
      <c r="A12" s="189" t="str">
        <f ca="1">IFERROR(__xludf.DUMMYFUNCTION("""COMPUTED_VALUE"""),"Total")</f>
        <v>Total</v>
      </c>
      <c r="B12" s="189"/>
      <c r="C12" s="209">
        <f ca="1">IFERROR(__xludf.DUMMYFUNCTION("""COMPUTED_VALUE"""),2739030)</f>
        <v>2739030</v>
      </c>
      <c r="D12" s="189">
        <v>2000000</v>
      </c>
    </row>
    <row r="13" spans="1:6" ht="13.2">
      <c r="A13" s="189"/>
      <c r="B13" s="189"/>
      <c r="C13" s="189"/>
      <c r="D13" s="189"/>
      <c r="E13" s="189"/>
      <c r="F13" s="189"/>
    </row>
    <row r="14" spans="1:6" ht="13.2">
      <c r="A14" s="189"/>
    </row>
    <row r="15" spans="1:6" ht="13.2">
      <c r="A15" s="201"/>
      <c r="B15" s="210"/>
    </row>
    <row r="16" spans="1:6" ht="13.2">
      <c r="A16" s="211"/>
      <c r="B16" s="2"/>
      <c r="C16" s="2"/>
      <c r="D16" s="2"/>
      <c r="E16" s="2"/>
      <c r="F16" s="211"/>
    </row>
    <row r="17" spans="1:6" ht="13.2">
      <c r="A17" s="212"/>
      <c r="B17" s="6"/>
      <c r="C17" s="4"/>
      <c r="D17" s="4"/>
      <c r="E17" s="213"/>
    </row>
    <row r="18" spans="1:6" ht="13.2">
      <c r="A18" s="212"/>
      <c r="B18" s="201"/>
      <c r="C18" s="189"/>
      <c r="D18" s="189"/>
      <c r="E18" s="214"/>
      <c r="F18" s="189"/>
    </row>
    <row r="19" spans="1:6" ht="13.2">
      <c r="A19" s="212"/>
      <c r="B19" s="201"/>
      <c r="C19" s="189"/>
      <c r="D19" s="189"/>
      <c r="E19" s="214"/>
    </row>
    <row r="20" spans="1:6" ht="13.2">
      <c r="A20" s="212"/>
      <c r="B20" s="201"/>
      <c r="C20" s="189"/>
      <c r="D20" s="189"/>
      <c r="E20" s="214"/>
      <c r="F20" s="189"/>
    </row>
    <row r="21" spans="1:6" ht="13.2">
      <c r="A21" s="248"/>
      <c r="B21" s="233"/>
      <c r="C21" s="233"/>
      <c r="D21" s="233"/>
    </row>
    <row r="25" spans="1:6" ht="15.75" customHeight="1">
      <c r="A25" s="215"/>
      <c r="B25" s="216"/>
      <c r="C25" s="216"/>
    </row>
    <row r="26" spans="1:6" ht="13.2">
      <c r="A26" s="201"/>
      <c r="B26" s="201"/>
      <c r="C26" s="201"/>
    </row>
    <row r="27" spans="1:6" ht="15.6">
      <c r="A27" s="217"/>
      <c r="B27" s="218"/>
      <c r="C27" s="219"/>
    </row>
    <row r="28" spans="1:6" ht="15.6">
      <c r="A28" s="215"/>
      <c r="B28" s="220"/>
      <c r="C28" s="220"/>
    </row>
    <row r="29" spans="1:6" ht="15.6">
      <c r="A29" s="215"/>
      <c r="B29" s="221"/>
      <c r="C29" s="221"/>
    </row>
    <row r="30" spans="1:6" ht="15.6">
      <c r="A30" s="215"/>
      <c r="B30" s="221"/>
      <c r="C30" s="222"/>
    </row>
    <row r="31" spans="1:6" ht="15.6">
      <c r="A31" s="215"/>
      <c r="B31" s="221"/>
      <c r="C31" s="222"/>
    </row>
    <row r="32" spans="1:6" ht="15.6">
      <c r="A32" s="215"/>
      <c r="B32" s="221"/>
      <c r="C32" s="222"/>
    </row>
    <row r="33" spans="1:7" ht="15.6">
      <c r="A33" s="215"/>
      <c r="B33" s="215"/>
      <c r="C33" s="215"/>
    </row>
    <row r="34" spans="1:7" ht="15.6">
      <c r="A34" s="201"/>
      <c r="B34" s="223"/>
      <c r="C34" s="223"/>
    </row>
    <row r="37" spans="1:7" ht="13.2">
      <c r="A37" s="224"/>
      <c r="B37" s="201"/>
      <c r="C37" s="201"/>
      <c r="D37" s="201"/>
      <c r="E37" s="201"/>
      <c r="F37" s="201"/>
      <c r="G37" s="201"/>
    </row>
    <row r="38" spans="1:7" ht="13.2">
      <c r="A38" s="201"/>
      <c r="B38" s="201"/>
      <c r="C38" s="201"/>
      <c r="D38" s="201"/>
      <c r="E38" s="201"/>
      <c r="F38" s="201"/>
      <c r="G38" s="201"/>
    </row>
    <row r="39" spans="1:7" ht="13.2">
      <c r="A39" s="201"/>
      <c r="B39" s="201"/>
      <c r="C39" s="201"/>
      <c r="D39" s="201"/>
      <c r="E39" s="201"/>
      <c r="F39" s="201"/>
      <c r="G39" s="201"/>
    </row>
    <row r="40" spans="1:7" ht="13.2">
      <c r="A40" s="201"/>
      <c r="B40" s="201"/>
      <c r="C40" s="201"/>
      <c r="D40" s="201"/>
      <c r="E40" s="201"/>
      <c r="F40" s="201"/>
      <c r="G40" s="201"/>
    </row>
    <row r="41" spans="1:7" ht="13.2">
      <c r="A41" s="207"/>
      <c r="B41" s="201"/>
      <c r="C41" s="207"/>
      <c r="D41" s="207"/>
      <c r="E41" s="207"/>
      <c r="F41" s="201"/>
      <c r="G41" s="201"/>
    </row>
    <row r="42" spans="1:7" ht="13.2">
      <c r="A42" s="207"/>
      <c r="B42" s="201"/>
      <c r="C42" s="201"/>
      <c r="D42" s="201"/>
      <c r="E42" s="207"/>
      <c r="F42" s="201"/>
      <c r="G42" s="201"/>
    </row>
    <row r="43" spans="1:7" ht="13.2">
      <c r="A43" s="207"/>
      <c r="B43" s="201"/>
      <c r="C43" s="201"/>
      <c r="D43" s="201"/>
      <c r="E43" s="207"/>
      <c r="F43" s="201"/>
      <c r="G43" s="201"/>
    </row>
    <row r="44" spans="1:7" ht="13.2">
      <c r="A44" s="207"/>
      <c r="B44" s="201"/>
      <c r="C44" s="201"/>
      <c r="D44" s="201"/>
      <c r="E44" s="207"/>
      <c r="F44" s="201"/>
      <c r="G44" s="201"/>
    </row>
    <row r="45" spans="1:7" ht="13.2">
      <c r="A45" s="207"/>
      <c r="B45" s="201"/>
      <c r="C45" s="201"/>
      <c r="D45" s="201"/>
      <c r="E45" s="207"/>
      <c r="F45" s="201"/>
      <c r="G45" s="201"/>
    </row>
    <row r="46" spans="1:7" ht="13.2">
      <c r="A46" s="207"/>
      <c r="B46" s="201"/>
      <c r="C46" s="207"/>
      <c r="D46" s="207"/>
      <c r="E46" s="207"/>
      <c r="F46" s="201"/>
      <c r="G46" s="201"/>
    </row>
    <row r="47" spans="1:7" ht="13.2">
      <c r="A47" s="207"/>
      <c r="B47" s="201"/>
      <c r="C47" s="207"/>
      <c r="D47" s="207"/>
      <c r="E47" s="207"/>
      <c r="F47" s="201"/>
      <c r="G47" s="201"/>
    </row>
    <row r="48" spans="1:7" ht="13.2">
      <c r="A48" s="207"/>
      <c r="B48" s="201"/>
      <c r="C48" s="207"/>
      <c r="D48" s="207"/>
      <c r="E48" s="207"/>
      <c r="F48" s="201"/>
      <c r="G48" s="201"/>
    </row>
    <row r="49" spans="1:7" ht="13.2">
      <c r="A49" s="201"/>
      <c r="B49" s="201"/>
      <c r="C49" s="201"/>
      <c r="D49" s="224"/>
      <c r="E49" s="207"/>
      <c r="F49" s="201"/>
      <c r="G49" s="201"/>
    </row>
    <row r="52" spans="1:7" ht="13.2">
      <c r="A52" s="211"/>
      <c r="B52" s="211"/>
    </row>
    <row r="61" spans="1:7" ht="13.2">
      <c r="D61" s="211"/>
      <c r="E61" s="211"/>
    </row>
  </sheetData>
  <mergeCells count="1">
    <mergeCell ref="A21:D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A17"/>
  <sheetViews>
    <sheetView workbookViewId="0"/>
  </sheetViews>
  <sheetFormatPr defaultColWidth="12.6640625" defaultRowHeight="15.75" customHeight="1"/>
  <cols>
    <col min="1" max="1" width="17.33203125" customWidth="1"/>
    <col min="3" max="3" width="19.33203125" customWidth="1"/>
  </cols>
  <sheetData>
    <row r="1" spans="1:27">
      <c r="A1" s="199" t="s">
        <v>902</v>
      </c>
    </row>
    <row r="3" spans="1:27">
      <c r="A3" s="199" t="s">
        <v>0</v>
      </c>
      <c r="B3" s="199" t="s">
        <v>903</v>
      </c>
      <c r="C3" s="199" t="s">
        <v>904</v>
      </c>
      <c r="D3" s="199" t="s">
        <v>150</v>
      </c>
      <c r="E3" s="199" t="s">
        <v>5</v>
      </c>
    </row>
    <row r="4" spans="1:27">
      <c r="A4" s="71" t="s">
        <v>905</v>
      </c>
      <c r="B4" s="71" t="s">
        <v>906</v>
      </c>
      <c r="C4" s="71">
        <v>50</v>
      </c>
      <c r="D4" s="71">
        <v>500</v>
      </c>
      <c r="E4" s="71">
        <f t="shared" ref="E4:E16" si="0">C4*D4</f>
        <v>25000</v>
      </c>
    </row>
    <row r="5" spans="1:27">
      <c r="A5" s="71" t="s">
        <v>907</v>
      </c>
      <c r="B5" s="71" t="s">
        <v>908</v>
      </c>
      <c r="C5" s="71">
        <v>50</v>
      </c>
      <c r="D5" s="71">
        <v>1000</v>
      </c>
      <c r="E5" s="71">
        <f t="shared" si="0"/>
        <v>50000</v>
      </c>
    </row>
    <row r="6" spans="1:27">
      <c r="A6" s="71" t="s">
        <v>909</v>
      </c>
      <c r="B6" s="48" t="s">
        <v>908</v>
      </c>
      <c r="C6" s="17">
        <v>30</v>
      </c>
      <c r="D6" s="71">
        <v>1000</v>
      </c>
      <c r="E6" s="71">
        <f t="shared" si="0"/>
        <v>30000</v>
      </c>
      <c r="F6" s="6"/>
      <c r="G6" s="6"/>
      <c r="I6" s="6"/>
      <c r="J6" s="6"/>
      <c r="K6" s="6"/>
      <c r="L6" s="6"/>
      <c r="M6" s="6"/>
      <c r="N6" s="6"/>
      <c r="O6" s="6"/>
      <c r="P6" s="6"/>
      <c r="Q6" s="6"/>
      <c r="R6" s="6"/>
      <c r="S6" s="6"/>
      <c r="T6" s="6"/>
      <c r="U6" s="6"/>
      <c r="V6" s="6"/>
      <c r="W6" s="6"/>
      <c r="X6" s="6"/>
      <c r="Y6" s="6"/>
      <c r="Z6" s="6"/>
      <c r="AA6" s="6"/>
    </row>
    <row r="7" spans="1:27">
      <c r="A7" s="71" t="s">
        <v>910</v>
      </c>
      <c r="B7" s="71" t="s">
        <v>906</v>
      </c>
      <c r="C7" s="71">
        <v>30</v>
      </c>
      <c r="D7" s="71">
        <v>500</v>
      </c>
      <c r="E7" s="71">
        <f t="shared" si="0"/>
        <v>15000</v>
      </c>
    </row>
    <row r="8" spans="1:27">
      <c r="A8" s="71" t="s">
        <v>911</v>
      </c>
      <c r="B8" s="71" t="s">
        <v>908</v>
      </c>
      <c r="C8" s="71">
        <v>30</v>
      </c>
      <c r="D8" s="71">
        <v>1000</v>
      </c>
      <c r="E8" s="71">
        <f t="shared" si="0"/>
        <v>30000</v>
      </c>
    </row>
    <row r="9" spans="1:27">
      <c r="A9" s="71" t="s">
        <v>64</v>
      </c>
      <c r="B9" s="71" t="s">
        <v>908</v>
      </c>
      <c r="C9" s="71">
        <v>30</v>
      </c>
      <c r="D9" s="71">
        <v>1000</v>
      </c>
      <c r="E9" s="71">
        <f t="shared" si="0"/>
        <v>30000</v>
      </c>
    </row>
    <row r="10" spans="1:27">
      <c r="A10" s="71" t="s">
        <v>912</v>
      </c>
      <c r="B10" s="71" t="s">
        <v>908</v>
      </c>
      <c r="C10" s="71">
        <v>20</v>
      </c>
      <c r="D10" s="71">
        <v>1000</v>
      </c>
      <c r="E10" s="71">
        <f t="shared" si="0"/>
        <v>20000</v>
      </c>
    </row>
    <row r="11" spans="1:27">
      <c r="A11" s="71" t="s">
        <v>912</v>
      </c>
      <c r="B11" s="71" t="s">
        <v>906</v>
      </c>
      <c r="C11" s="71">
        <v>65</v>
      </c>
      <c r="D11" s="71">
        <v>500</v>
      </c>
      <c r="E11" s="71">
        <f t="shared" si="0"/>
        <v>32500</v>
      </c>
    </row>
    <row r="12" spans="1:27">
      <c r="A12" s="71" t="s">
        <v>913</v>
      </c>
      <c r="B12" s="71" t="s">
        <v>908</v>
      </c>
      <c r="C12" s="71">
        <v>8</v>
      </c>
      <c r="D12" s="71">
        <v>1000</v>
      </c>
      <c r="E12" s="71">
        <f t="shared" si="0"/>
        <v>8000</v>
      </c>
    </row>
    <row r="13" spans="1:27">
      <c r="A13" s="71" t="s">
        <v>913</v>
      </c>
      <c r="B13" s="71" t="s">
        <v>914</v>
      </c>
      <c r="C13" s="71">
        <v>30</v>
      </c>
      <c r="D13" s="71">
        <v>500</v>
      </c>
      <c r="E13" s="71">
        <f t="shared" si="0"/>
        <v>15000</v>
      </c>
    </row>
    <row r="14" spans="1:27">
      <c r="A14" s="71" t="s">
        <v>915</v>
      </c>
      <c r="B14" s="71" t="s">
        <v>908</v>
      </c>
      <c r="C14" s="71">
        <v>4</v>
      </c>
      <c r="D14" s="71">
        <v>1000</v>
      </c>
      <c r="E14" s="71">
        <f t="shared" si="0"/>
        <v>4000</v>
      </c>
    </row>
    <row r="15" spans="1:27">
      <c r="A15" s="71" t="s">
        <v>915</v>
      </c>
      <c r="B15" s="71" t="s">
        <v>906</v>
      </c>
      <c r="C15" s="71">
        <v>30</v>
      </c>
      <c r="D15" s="71">
        <v>500</v>
      </c>
      <c r="E15" s="71">
        <f t="shared" si="0"/>
        <v>15000</v>
      </c>
    </row>
    <row r="16" spans="1:27">
      <c r="A16" s="71" t="s">
        <v>916</v>
      </c>
      <c r="B16" s="71" t="s">
        <v>917</v>
      </c>
      <c r="C16" s="71">
        <v>20</v>
      </c>
      <c r="D16" s="71">
        <v>1500</v>
      </c>
      <c r="E16" s="71">
        <f t="shared" si="0"/>
        <v>30000</v>
      </c>
    </row>
    <row r="17" spans="4:5">
      <c r="D17" s="199" t="s">
        <v>5</v>
      </c>
      <c r="E17" s="199">
        <f>SUM(E4:E16)</f>
        <v>304500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Overall</vt:lpstr>
      <vt:lpstr>Coding Club</vt:lpstr>
      <vt:lpstr>Space Data Science Club</vt:lpstr>
      <vt:lpstr>AI Club</vt:lpstr>
      <vt:lpstr>Robotics Club</vt:lpstr>
      <vt:lpstr>Finance Club</vt:lpstr>
      <vt:lpstr>Ingene Motorsport</vt:lpstr>
      <vt:lpstr>Abhikalpa Design Club</vt:lpstr>
      <vt:lpstr>Astronomy Club</vt:lpstr>
      <vt:lpstr>Electronics Club</vt:lpstr>
      <vt:lpstr>SoI26</vt:lpstr>
      <vt:lpstr>InterIIT</vt:lpstr>
      <vt:lpstr>PARSEC</vt:lpstr>
      <vt:lpstr>ClubMerch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Nidhish Doshi</cp:lastModifiedBy>
  <dcterms:modified xsi:type="dcterms:W3CDTF">2026-10-09T09:32:33Z</dcterms:modified>
</cp:coreProperties>
</file>